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Vision/MRI/Prakash/PNAS_shared_data/data/"/>
    </mc:Choice>
  </mc:AlternateContent>
  <xr:revisionPtr revIDLastSave="0" documentId="13_ncr:1_{48288DCD-AEEC-0947-87C5-45014E47689E}" xr6:coauthVersionLast="47" xr6:coauthVersionMax="47" xr10:uidLastSave="{00000000-0000-0000-0000-000000000000}"/>
  <bookViews>
    <workbookView xWindow="0" yWindow="500" windowWidth="35840" windowHeight="20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5" i="1" l="1"/>
  <c r="D105" i="1" s="1"/>
  <c r="D62" i="1"/>
  <c r="D63" i="1"/>
  <c r="D64" i="1"/>
  <c r="D65" i="1"/>
  <c r="D66" i="1"/>
  <c r="D67" i="1"/>
  <c r="D68" i="1"/>
  <c r="D70" i="1"/>
  <c r="D71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7" i="1"/>
  <c r="D108" i="1"/>
  <c r="D109" i="1"/>
  <c r="D110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7" i="1"/>
  <c r="D128" i="1"/>
  <c r="D129" i="1"/>
  <c r="D130" i="1"/>
  <c r="D132" i="1"/>
  <c r="D133" i="1"/>
  <c r="D134" i="1"/>
  <c r="D135" i="1"/>
  <c r="D136" i="1"/>
  <c r="D137" i="1"/>
  <c r="D138" i="1"/>
  <c r="D139" i="1"/>
  <c r="D140" i="1"/>
  <c r="E136" i="1"/>
  <c r="E133" i="1"/>
  <c r="E128" i="1"/>
  <c r="E127" i="1"/>
  <c r="E119" i="1"/>
  <c r="E118" i="1"/>
  <c r="E117" i="1"/>
  <c r="E113" i="1"/>
  <c r="E112" i="1"/>
  <c r="E109" i="1"/>
  <c r="E108" i="1"/>
  <c r="E104" i="1"/>
  <c r="E103" i="1"/>
  <c r="E102" i="1"/>
  <c r="E96" i="1"/>
  <c r="E89" i="1"/>
  <c r="E82" i="1"/>
  <c r="E77" i="1"/>
  <c r="E76" i="1"/>
  <c r="E73" i="1"/>
  <c r="E67" i="1"/>
  <c r="E64" i="1"/>
  <c r="E62" i="1"/>
  <c r="F131" i="1"/>
  <c r="D131" i="1" s="1"/>
  <c r="F126" i="1"/>
  <c r="D126" i="1" s="1"/>
  <c r="F111" i="1"/>
  <c r="D111" i="1" s="1"/>
  <c r="F106" i="1"/>
  <c r="E106" i="1" s="1"/>
  <c r="F72" i="1"/>
  <c r="D72" i="1" s="1"/>
  <c r="F69" i="1"/>
  <c r="D69" i="1" s="1"/>
  <c r="F61" i="1"/>
  <c r="D61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2" i="1"/>
  <c r="D106" i="1" l="1"/>
  <c r="E111" i="1"/>
  <c r="E69" i="1"/>
  <c r="E72" i="1"/>
  <c r="E126" i="1"/>
  <c r="E131" i="1"/>
</calcChain>
</file>

<file path=xl/sharedStrings.xml><?xml version="1.0" encoding="utf-8"?>
<sst xmlns="http://schemas.openxmlformats.org/spreadsheetml/2006/main" count="169" uniqueCount="133">
  <si>
    <t>Subjects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</si>
  <si>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</si>
  <si>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</si>
  <si>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</si>
  <si>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</si>
  <si>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</si>
  <si>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</si>
  <si>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</si>
  <si>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</si>
  <si>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</si>
  <si>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</si>
  <si>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</si>
  <si>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</si>
  <si>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</si>
  <si>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</si>
  <si>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</si>
  <si>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</si>
  <si>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</si>
  <si>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</si>
  <si>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</si>
  <si>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</si>
  <si>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</si>
  <si>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</si>
  <si>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</si>
  <si>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Sessions</t>
  </si>
  <si>
    <t>Group</t>
  </si>
  <si>
    <t>FA_CC</t>
  </si>
  <si>
    <t>MD_CFMajor</t>
  </si>
  <si>
    <t>FA_CFMajor</t>
  </si>
  <si>
    <t>MD_CFMinor</t>
  </si>
  <si>
    <t>FA_CFMinor</t>
  </si>
  <si>
    <t>MD_CST</t>
  </si>
  <si>
    <t>FA_CST</t>
  </si>
  <si>
    <t>MD_IFOF</t>
  </si>
  <si>
    <t>FA_IFOF</t>
  </si>
  <si>
    <t>MD_ILF</t>
  </si>
  <si>
    <t>FA_ILF</t>
  </si>
  <si>
    <t>MD_OR</t>
  </si>
  <si>
    <t>FA_OR</t>
  </si>
  <si>
    <t>MD_OT</t>
  </si>
  <si>
    <t>FA_OT</t>
  </si>
  <si>
    <t>MD_SLF</t>
  </si>
  <si>
    <t>FA_SLF</t>
  </si>
  <si>
    <t>MD_UF</t>
  </si>
  <si>
    <t>FA_UF</t>
  </si>
  <si>
    <t>HCD0008117_V1_MR</t>
  </si>
  <si>
    <t>HCD0114419_V1_MR</t>
  </si>
  <si>
    <t>HCD0143426_V1_MR</t>
  </si>
  <si>
    <t>HCD0146331_V1_MR</t>
  </si>
  <si>
    <t>HCD0259546_V1_MR</t>
  </si>
  <si>
    <t>HCD0267747_V1_MR</t>
  </si>
  <si>
    <t>HCD0288250_V1_MR</t>
  </si>
  <si>
    <t>HCD0353538_V1_MR</t>
  </si>
  <si>
    <t>HCD0406230_V1_MR</t>
  </si>
  <si>
    <t>HCD0541539_V1_MR</t>
  </si>
  <si>
    <t>HCD0551946_V1_MR</t>
  </si>
  <si>
    <t>HCD0621638_V1_MR</t>
  </si>
  <si>
    <t>HCD0662955_V1_MR</t>
  </si>
  <si>
    <t>HCD0752855_V1_MR</t>
  </si>
  <si>
    <t>HCD0772255_V1_MR</t>
  </si>
  <si>
    <t>HCD0784060_V1_MR</t>
  </si>
  <si>
    <t>HCD0802440_V1_MR</t>
  </si>
  <si>
    <t>HCD0804545_V1_MR</t>
  </si>
  <si>
    <t>HCD0906250_V1_MR</t>
  </si>
  <si>
    <t>HCD0951861_V1_MR</t>
  </si>
  <si>
    <t>HCD1039032_V1_MR</t>
  </si>
  <si>
    <t>HCD1071836_V1_MR</t>
  </si>
  <si>
    <t>HCD1106728_V1_MR</t>
  </si>
  <si>
    <t>HCD1120015_V1_MR</t>
  </si>
  <si>
    <t>HCD1215632_V1_MR</t>
  </si>
  <si>
    <t>HCD1227740_V1_MR</t>
  </si>
  <si>
    <t>HCD1267348_V1_MR</t>
  </si>
  <si>
    <t>HCD1289358_V1_MR</t>
  </si>
  <si>
    <t>HCD1328241_V1_MR</t>
  </si>
  <si>
    <t>HCD1409342_V1_MR</t>
  </si>
  <si>
    <t>HCD1553551_V1_MR</t>
  </si>
  <si>
    <t>HCD1714852_V1_MR</t>
  </si>
  <si>
    <t>HCD1801140_V1_MR</t>
  </si>
  <si>
    <t>HCD1807051_V1_MR</t>
  </si>
  <si>
    <t>HCD1870159_V1_MR</t>
  </si>
  <si>
    <t>HCD2068145_V1_MR</t>
  </si>
  <si>
    <t>HCD2155645_V1_MR</t>
  </si>
  <si>
    <t>HCD2156344_V1_MR</t>
  </si>
  <si>
    <t>HCD2239247_V1_MR</t>
  </si>
  <si>
    <t>HCD2342745_V1_MR</t>
  </si>
  <si>
    <t>HCD2378463_V1_MR</t>
  </si>
  <si>
    <t>HCD2523345_V1_MR</t>
  </si>
  <si>
    <t>HCD2554255_V1_MR</t>
  </si>
  <si>
    <t>HCD2633554_V1_MR</t>
  </si>
  <si>
    <t>HCD2643052_V1_MR</t>
  </si>
  <si>
    <t>HCD2655766_V1_MR</t>
  </si>
  <si>
    <t>HCD2761967_V1_MR</t>
  </si>
  <si>
    <t>HCD2762565_V1_MR</t>
  </si>
  <si>
    <t>HCD2879788_V1_MR</t>
  </si>
  <si>
    <t>HCD2945876_V1_MR</t>
  </si>
  <si>
    <t>AgeAtMeasurementDays</t>
  </si>
  <si>
    <t>AgeAtMeasurementYears</t>
  </si>
  <si>
    <t>DaysSinceSurgery</t>
  </si>
  <si>
    <t>AgeAtSurgeryDays</t>
  </si>
  <si>
    <t>AgeAtSurgeryYears</t>
  </si>
  <si>
    <t>AgeAtMeasurementMonths</t>
  </si>
  <si>
    <t>MD_CC</t>
  </si>
  <si>
    <t>HCD0111716_V1_MR</t>
  </si>
  <si>
    <t>HCD0124725_V1_MR</t>
  </si>
  <si>
    <t>HCD0247438_V1_MR</t>
  </si>
  <si>
    <t>HCD0263032_V1_MR</t>
  </si>
  <si>
    <t>HCD0295954_V1_MR</t>
  </si>
  <si>
    <t>HCD0311118_V1_MR</t>
  </si>
  <si>
    <t>HCD0461844_V1_MR</t>
  </si>
  <si>
    <t>HCD0514738_V1_MR</t>
  </si>
  <si>
    <t>HCD0719352_V1_MR</t>
  </si>
  <si>
    <t>HCD0946868_V1_MR</t>
  </si>
  <si>
    <t>HCD1227134_V1_MR</t>
  </si>
  <si>
    <t>HCD1410933_V1_MR</t>
  </si>
  <si>
    <t>HCD1500025_V1_MR</t>
  </si>
  <si>
    <t>HCD1518448_V1_MR</t>
  </si>
  <si>
    <t>HCD1546857_V1_MR</t>
  </si>
  <si>
    <t>HCD1626653_V1_MR</t>
  </si>
  <si>
    <t>HCD1664762_V1_MR</t>
  </si>
  <si>
    <t>HCD1734858_V1_MR</t>
  </si>
  <si>
    <t>HCD1783366_V1_MR</t>
  </si>
  <si>
    <t>HCD1794977_V1_MR</t>
  </si>
  <si>
    <t>HCD1886275_V1_MR</t>
  </si>
  <si>
    <t>HCD1892371_V1_MR</t>
  </si>
  <si>
    <t>HCD1900142_V1_MR</t>
  </si>
  <si>
    <t>HCD2383658_V1_MR</t>
  </si>
  <si>
    <t>HCD2400632_V1_MR</t>
  </si>
  <si>
    <t>HCD2483662_V1_MR</t>
  </si>
  <si>
    <t>HCD2617657_V1_MR</t>
  </si>
  <si>
    <t>HCD2635659_V1_MR</t>
  </si>
  <si>
    <t>HCD2724456_V1_MR</t>
  </si>
  <si>
    <t>HCD1529756_V1_MR</t>
  </si>
  <si>
    <t>LogDaysSinceSurgery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</si>
</sst>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0" fontId="1" fillId="0" borderId="0" xfId="0" applyFont="1"/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0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21.83203125" customWidth="1"/>
    <col min="2" max="2" width="8.6640625" customWidth="1"/>
    <col min="3" max="3" width="15.33203125" customWidth="1"/>
    <col min="4" max="5" width="23.1640625" customWidth="1"/>
    <col min="6" max="6" width="23.6640625" customWidth="1"/>
    <col min="7" max="7" width="16.6640625" customWidth="1"/>
    <col min="8" max="8" width="17.5" customWidth="1"/>
    <col min="9" max="9" width="18" customWidth="1"/>
    <col min="10" max="10" width="19.6640625" customWidth="1"/>
    <col min="11" max="11" width="18" customWidth="1"/>
    <col min="12" max="24" width="12.6640625" customWidth="1"/>
    <col min="25" max="25" width="11.6640625" customWidth="1"/>
    <col min="26" max="30" width="12.6640625" customWidth="1"/>
  </cols>
  <sheetData>
    <row r="1" spans="1:30" s="5" customFormat="1" x14ac:dyDescent="0.2">
      <c r="A1" s="3" t="s">
        <v>0</v>
      </c>
      <c r="B1" s="3" t="s">
        <v>24</v>
      </c>
      <c r="C1" s="4" t="s">
        <v>25</v>
      </c>
      <c r="D1" s="4" t="s">
        <v>95</v>
      </c>
      <c r="E1" s="4" t="s">
        <v>100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132</v>
      </c>
      <c r="K1" s="4" t="s">
        <v>101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</row>
    <row r="2" spans="1:30" x14ac:dyDescent="0.2">
      <c r="A2" s="1" t="s">
        <v>1</v>
      </c>
      <c r="B2">
        <v>1</v>
      </c>
      <c r="C2">
        <v>1</v>
      </c>
      <c r="D2">
        <v>2385</v>
      </c>
      <c r="E2" s="7">
        <f>F2*12</f>
        <v>78.358898540011097</v>
      </c>
      <c r="F2" s="7">
        <v>6.5299082116675908</v>
      </c>
      <c r="G2">
        <v>3</v>
      </c>
      <c r="H2">
        <v>2382</v>
      </c>
      <c r="I2">
        <v>6.5216944906466248</v>
      </c>
      <c r="J2">
        <v>0.47712125471966244</v>
      </c>
      <c r="K2">
        <v>0.88316013255317594</v>
      </c>
      <c r="L2">
        <v>0.36756650545910913</v>
      </c>
      <c r="M2">
        <v>0.9446637361280581</v>
      </c>
      <c r="N2">
        <v>0.63450621113622641</v>
      </c>
      <c r="O2">
        <v>0.99019852982349621</v>
      </c>
      <c r="P2">
        <v>0.49173055558751377</v>
      </c>
      <c r="Q2">
        <v>0.81730699833892506</v>
      </c>
      <c r="R2">
        <v>0.49828623902220837</v>
      </c>
      <c r="S2">
        <v>0.89973752384036199</v>
      </c>
      <c r="T2">
        <v>0.43602845900459464</v>
      </c>
      <c r="U2">
        <v>0.94302548149903376</v>
      </c>
      <c r="V2">
        <v>0.42411631810833228</v>
      </c>
      <c r="W2">
        <v>0.93735477073861495</v>
      </c>
      <c r="X2">
        <v>0.50215579143105327</v>
      </c>
      <c r="Y2">
        <v>1.268469251959456</v>
      </c>
      <c r="Z2">
        <v>0.42714057259851596</v>
      </c>
      <c r="AA2">
        <v>0.83615501843438766</v>
      </c>
      <c r="AB2">
        <v>0.40758860911366357</v>
      </c>
      <c r="AC2">
        <v>0.90344323862281217</v>
      </c>
      <c r="AD2">
        <v>0.39339337238002492</v>
      </c>
    </row>
    <row r="3" spans="1:30" x14ac:dyDescent="0.2">
      <c r="A3" s="1" t="s">
        <v>2</v>
      </c>
      <c r="B3">
        <v>1</v>
      </c>
      <c r="C3">
        <v>1</v>
      </c>
      <c r="D3">
        <v>2385</v>
      </c>
      <c r="E3" s="7">
        <f t="shared" ref="E3:E60" si="0">F3*12</f>
        <v>78.358898540011097</v>
      </c>
      <c r="F3" s="7">
        <v>6.5299082116675908</v>
      </c>
      <c r="G3">
        <v>2</v>
      </c>
      <c r="H3">
        <v>2383</v>
      </c>
      <c r="I3">
        <v>6.5244323976536132</v>
      </c>
      <c r="J3">
        <v>0.3010299956639812</v>
      </c>
      <c r="K3">
        <v>0.85308603665158267</v>
      </c>
      <c r="L3">
        <v>0.48860505064151882</v>
      </c>
      <c r="M3">
        <v>0.90499868818320961</v>
      </c>
      <c r="N3">
        <v>0.63118170763423731</v>
      </c>
      <c r="O3">
        <v>0.84936571753164469</v>
      </c>
      <c r="P3">
        <v>0.58221328297639285</v>
      </c>
      <c r="Q3">
        <v>0.76490014739141465</v>
      </c>
      <c r="R3">
        <v>0.59702508448116975</v>
      </c>
      <c r="S3">
        <v>0.81885900037237092</v>
      </c>
      <c r="T3">
        <v>0.49861550519243591</v>
      </c>
      <c r="U3">
        <v>0.84698987320327535</v>
      </c>
      <c r="V3">
        <v>0.43130322240589292</v>
      </c>
      <c r="W3">
        <v>0.92529477117173808</v>
      </c>
      <c r="X3">
        <v>0.47782096109883315</v>
      </c>
      <c r="Y3">
        <v>1.1646574215056285</v>
      </c>
      <c r="Z3">
        <v>0.3861638345249353</v>
      </c>
      <c r="AA3">
        <v>0.78109142826696309</v>
      </c>
      <c r="AB3">
        <v>0.44558690674398421</v>
      </c>
      <c r="AC3">
        <v>0.81214920199249663</v>
      </c>
      <c r="AD3">
        <v>0.45877467173097386</v>
      </c>
    </row>
    <row r="4" spans="1:30" x14ac:dyDescent="0.2">
      <c r="A4" s="1" t="s">
        <v>2</v>
      </c>
      <c r="B4">
        <v>2</v>
      </c>
      <c r="C4">
        <v>1</v>
      </c>
      <c r="D4">
        <v>2392</v>
      </c>
      <c r="E4" s="7">
        <f t="shared" si="0"/>
        <v>78.588882728598122</v>
      </c>
      <c r="F4" s="7">
        <v>6.5490735607165105</v>
      </c>
      <c r="G4">
        <v>9</v>
      </c>
      <c r="H4">
        <v>2383</v>
      </c>
      <c r="I4">
        <v>6.5244323976536132</v>
      </c>
      <c r="J4">
        <v>0.95424250943932487</v>
      </c>
      <c r="K4">
        <v>0.8366396788260877</v>
      </c>
      <c r="L4">
        <v>0.50817064712285409</v>
      </c>
      <c r="M4">
        <v>0.84516617411273653</v>
      </c>
      <c r="N4">
        <v>0.66201646927313296</v>
      </c>
      <c r="O4">
        <v>0.86723505314980631</v>
      </c>
      <c r="P4">
        <v>0.57413841489401829</v>
      </c>
      <c r="Q4">
        <v>0.7631648239381692</v>
      </c>
      <c r="R4">
        <v>0.59254241781027539</v>
      </c>
      <c r="S4">
        <v>0.86662843565952108</v>
      </c>
      <c r="T4">
        <v>0.52261882020405248</v>
      </c>
      <c r="U4">
        <v>0.84149106448283872</v>
      </c>
      <c r="V4">
        <v>0.44193436185723051</v>
      </c>
      <c r="W4">
        <v>0.90185952442720985</v>
      </c>
      <c r="X4">
        <v>0.50325275925124235</v>
      </c>
      <c r="Y4">
        <v>1.3055906073604588</v>
      </c>
      <c r="Z4">
        <v>0.35291629552290593</v>
      </c>
      <c r="AA4">
        <v>0.77374350897443445</v>
      </c>
      <c r="AB4">
        <v>0.46392750728792659</v>
      </c>
      <c r="AC4">
        <v>0.84072099758528585</v>
      </c>
      <c r="AD4">
        <v>0.46268926485969092</v>
      </c>
    </row>
    <row r="5" spans="1:30" x14ac:dyDescent="0.2">
      <c r="A5" s="1" t="s">
        <v>2</v>
      </c>
      <c r="B5">
        <v>3</v>
      </c>
      <c r="C5">
        <v>1</v>
      </c>
      <c r="D5">
        <v>2398</v>
      </c>
      <c r="E5" s="7">
        <f t="shared" si="0"/>
        <v>78.786012033101287</v>
      </c>
      <c r="F5" s="7">
        <v>6.5655010027584408</v>
      </c>
      <c r="G5">
        <v>15</v>
      </c>
      <c r="H5">
        <v>2383</v>
      </c>
      <c r="I5">
        <v>6.5244323976536132</v>
      </c>
      <c r="J5">
        <v>1.1760912590556813</v>
      </c>
      <c r="K5">
        <v>0.82872384772807473</v>
      </c>
      <c r="L5">
        <v>0.51493703599356655</v>
      </c>
      <c r="M5">
        <v>0.8695867951997942</v>
      </c>
      <c r="N5">
        <v>0.64722514030003808</v>
      </c>
      <c r="O5">
        <v>0.84081051818659058</v>
      </c>
      <c r="P5">
        <v>0.59393751104076975</v>
      </c>
      <c r="Q5">
        <v>0.76761914925299979</v>
      </c>
      <c r="R5">
        <v>0.58695008199175824</v>
      </c>
      <c r="S5">
        <v>0.83970091021199489</v>
      </c>
      <c r="T5">
        <v>0.53029863258793686</v>
      </c>
      <c r="U5">
        <v>0.83778890970190911</v>
      </c>
      <c r="V5">
        <v>0.45954031954776414</v>
      </c>
      <c r="W5">
        <v>0.91127512087231699</v>
      </c>
      <c r="X5">
        <v>0.49728320247984897</v>
      </c>
      <c r="Y5">
        <v>1.2427554201279702</v>
      </c>
      <c r="Z5">
        <v>0.37874881897520252</v>
      </c>
      <c r="AA5">
        <v>0.78859837436673064</v>
      </c>
      <c r="AB5">
        <v>0.45282318249253289</v>
      </c>
      <c r="AC5">
        <v>0.79420793242939214</v>
      </c>
      <c r="AD5">
        <v>0.48572004444832056</v>
      </c>
    </row>
    <row r="6" spans="1:30" x14ac:dyDescent="0.2">
      <c r="A6" s="1" t="s">
        <v>2</v>
      </c>
      <c r="B6">
        <v>4</v>
      </c>
      <c r="C6">
        <v>1</v>
      </c>
      <c r="D6">
        <v>2424</v>
      </c>
      <c r="E6" s="7">
        <f t="shared" si="0"/>
        <v>79.640239019281708</v>
      </c>
      <c r="F6" s="7">
        <v>6.6366865849401426</v>
      </c>
      <c r="G6">
        <v>41</v>
      </c>
      <c r="H6">
        <v>2383</v>
      </c>
      <c r="I6">
        <v>6.5244323976536132</v>
      </c>
      <c r="J6">
        <v>1.6127838567197355</v>
      </c>
      <c r="K6">
        <v>0.83705214038824249</v>
      </c>
      <c r="L6">
        <v>0.51545462931419572</v>
      </c>
      <c r="M6">
        <v>0.83118263151844174</v>
      </c>
      <c r="N6">
        <v>0.65824043712993874</v>
      </c>
      <c r="O6">
        <v>0.83629519323495116</v>
      </c>
      <c r="P6">
        <v>0.59196508935509295</v>
      </c>
      <c r="Q6">
        <v>0.73740193926298858</v>
      </c>
      <c r="R6">
        <v>0.60292127139931817</v>
      </c>
      <c r="S6">
        <v>0.85714810810665765</v>
      </c>
      <c r="T6">
        <v>0.52363349908206902</v>
      </c>
      <c r="U6">
        <v>0.84815829719719216</v>
      </c>
      <c r="V6">
        <v>0.45474679910818272</v>
      </c>
      <c r="W6">
        <v>0.88893671472364166</v>
      </c>
      <c r="X6">
        <v>0.50094152095939204</v>
      </c>
      <c r="Y6">
        <v>1.2615565497102439</v>
      </c>
      <c r="Z6">
        <v>0.39830784887109116</v>
      </c>
      <c r="AA6">
        <v>0.76763120784302141</v>
      </c>
      <c r="AB6">
        <v>0.47256976542390178</v>
      </c>
      <c r="AC6">
        <v>0.80482693603778532</v>
      </c>
      <c r="AD6">
        <v>0.48483362956627429</v>
      </c>
    </row>
    <row r="7" spans="1:30" x14ac:dyDescent="0.2">
      <c r="A7" s="1" t="s">
        <v>2</v>
      </c>
      <c r="B7">
        <v>5</v>
      </c>
      <c r="C7">
        <v>1</v>
      </c>
      <c r="D7">
        <v>2572</v>
      </c>
      <c r="E7" s="7">
        <f t="shared" si="0"/>
        <v>84.502761863693308</v>
      </c>
      <c r="F7" s="7">
        <v>7.0418968219744418</v>
      </c>
      <c r="G7">
        <v>189</v>
      </c>
      <c r="H7">
        <v>2383</v>
      </c>
      <c r="I7">
        <v>6.5244323976536132</v>
      </c>
      <c r="J7">
        <v>2.2764618041732443</v>
      </c>
      <c r="K7">
        <v>0.80004706180429785</v>
      </c>
      <c r="L7">
        <v>0.52204140950737865</v>
      </c>
      <c r="M7">
        <v>0.81498561154779436</v>
      </c>
      <c r="N7">
        <v>0.65375962561228085</v>
      </c>
      <c r="O7">
        <v>0.8359505848325931</v>
      </c>
      <c r="P7">
        <v>0.6026625778165382</v>
      </c>
      <c r="Q7">
        <v>0.73393683155091849</v>
      </c>
      <c r="R7">
        <v>0.59930930158122364</v>
      </c>
      <c r="S7">
        <v>0.84493372313387671</v>
      </c>
      <c r="T7">
        <v>0.5418230373898596</v>
      </c>
      <c r="U7">
        <v>0.82996119335025398</v>
      </c>
      <c r="V7">
        <v>0.462871178702561</v>
      </c>
      <c r="W7">
        <v>0.89820092904050663</v>
      </c>
      <c r="X7">
        <v>0.50548916863196192</v>
      </c>
      <c r="Y7">
        <v>1.1475726700456388</v>
      </c>
      <c r="Z7">
        <v>0.38595263593850759</v>
      </c>
      <c r="AA7">
        <v>0.74481808044856979</v>
      </c>
      <c r="AB7">
        <v>0.48099821600474224</v>
      </c>
      <c r="AC7">
        <v>0.80908804589972316</v>
      </c>
      <c r="AD7">
        <v>0.48391970221754582</v>
      </c>
    </row>
    <row r="8" spans="1:30" x14ac:dyDescent="0.2">
      <c r="A8" s="1" t="s">
        <v>2</v>
      </c>
      <c r="B8">
        <v>6</v>
      </c>
      <c r="C8">
        <v>1</v>
      </c>
      <c r="D8">
        <v>2833</v>
      </c>
      <c r="E8" s="7">
        <f t="shared" si="0"/>
        <v>93.077886609581299</v>
      </c>
      <c r="F8" s="7">
        <v>7.7564905507984419</v>
      </c>
      <c r="G8">
        <v>450</v>
      </c>
      <c r="H8">
        <v>2383</v>
      </c>
      <c r="I8">
        <v>6.5244323976536132</v>
      </c>
      <c r="J8">
        <v>2.6532125137753435</v>
      </c>
      <c r="K8">
        <v>0.82584191374076354</v>
      </c>
      <c r="L8">
        <v>0.51200682972638067</v>
      </c>
      <c r="M8">
        <v>0.84153067900088629</v>
      </c>
      <c r="N8">
        <v>0.6563746592905495</v>
      </c>
      <c r="O8">
        <v>0.74424565500909523</v>
      </c>
      <c r="P8">
        <v>0.63495697177068045</v>
      </c>
      <c r="Q8">
        <v>0.74100551609230136</v>
      </c>
      <c r="R8">
        <v>0.59956589303263663</v>
      </c>
      <c r="S8">
        <v>0.82336460363656094</v>
      </c>
      <c r="T8">
        <v>0.54891852276567188</v>
      </c>
      <c r="U8">
        <v>0.8349424626962566</v>
      </c>
      <c r="V8">
        <v>0.468569053211979</v>
      </c>
      <c r="W8">
        <v>0.8847881510550536</v>
      </c>
      <c r="X8">
        <v>0.5240933310513286</v>
      </c>
      <c r="Y8">
        <v>1.1415831590747656</v>
      </c>
      <c r="Z8">
        <v>0.42628033650431452</v>
      </c>
      <c r="AA8">
        <v>0.75849026881716275</v>
      </c>
      <c r="AB8">
        <v>0.48133262890327588</v>
      </c>
      <c r="AC8">
        <v>0.79476067584868493</v>
      </c>
      <c r="AD8">
        <v>0.46909790675868246</v>
      </c>
    </row>
    <row r="9" spans="1:30" x14ac:dyDescent="0.2">
      <c r="A9" s="1" t="s">
        <v>3</v>
      </c>
      <c r="B9">
        <v>1</v>
      </c>
      <c r="C9">
        <v>1</v>
      </c>
      <c r="D9">
        <v>3111</v>
      </c>
      <c r="E9" s="7">
        <f t="shared" si="0"/>
        <v>102.21154438489495</v>
      </c>
      <c r="F9" s="7">
        <v>8.5176286987412464</v>
      </c>
      <c r="G9">
        <v>-16</v>
      </c>
      <c r="H9">
        <v>3127</v>
      </c>
      <c r="I9">
        <v>8.5614352108530625</v>
      </c>
      <c r="J9">
        <v>0</v>
      </c>
      <c r="K9">
        <v>0.76705143941825416</v>
      </c>
      <c r="L9">
        <v>0.49713384294146784</v>
      </c>
      <c r="M9">
        <v>0.77089195024083756</v>
      </c>
      <c r="N9">
        <v>0.72417255403178316</v>
      </c>
      <c r="O9">
        <v>0.85042797351144039</v>
      </c>
      <c r="P9">
        <v>0.58454637298901424</v>
      </c>
      <c r="Q9">
        <v>0.70532006486197674</v>
      </c>
      <c r="R9">
        <v>0.64765971988230819</v>
      </c>
      <c r="S9">
        <v>0.78785750084967532</v>
      </c>
      <c r="T9">
        <v>0.53241636543548965</v>
      </c>
      <c r="U9">
        <v>0.79358670171791479</v>
      </c>
      <c r="V9">
        <v>0.52388249836820167</v>
      </c>
      <c r="W9">
        <v>0.80387682787536696</v>
      </c>
      <c r="X9">
        <v>0.5705759062113589</v>
      </c>
      <c r="Y9">
        <v>1.0439719598986179</v>
      </c>
      <c r="Z9">
        <v>0.49458420271367742</v>
      </c>
      <c r="AA9">
        <v>0.72662060207314516</v>
      </c>
      <c r="AB9">
        <v>0.51715330742935894</v>
      </c>
      <c r="AC9">
        <v>0.81536811875288107</v>
      </c>
      <c r="AD9">
        <v>0.43567260721738865</v>
      </c>
    </row>
    <row r="10" spans="1:30" x14ac:dyDescent="0.2">
      <c r="A10" s="1" t="s">
        <v>3</v>
      </c>
      <c r="B10">
        <v>2</v>
      </c>
      <c r="C10">
        <v>1</v>
      </c>
      <c r="D10">
        <v>3129</v>
      </c>
      <c r="E10" s="7">
        <f t="shared" si="0"/>
        <v>102.8029322984045</v>
      </c>
      <c r="F10" s="7">
        <v>8.566911024867041</v>
      </c>
      <c r="G10">
        <v>2</v>
      </c>
      <c r="H10">
        <v>3127</v>
      </c>
      <c r="I10">
        <v>8.5614352108530625</v>
      </c>
      <c r="J10">
        <v>0.3010299956639812</v>
      </c>
      <c r="K10">
        <v>0.76339833178960403</v>
      </c>
      <c r="L10">
        <v>0.51158611781137231</v>
      </c>
      <c r="M10">
        <v>0.8379630276617801</v>
      </c>
      <c r="N10">
        <v>0.68912856694114211</v>
      </c>
      <c r="O10">
        <v>0.85709570376505595</v>
      </c>
      <c r="P10">
        <v>0.58475421952276752</v>
      </c>
      <c r="Q10">
        <v>0.72251784182153345</v>
      </c>
      <c r="R10">
        <v>0.63086359556242422</v>
      </c>
      <c r="S10">
        <v>0.79595553687691278</v>
      </c>
      <c r="T10">
        <v>0.53684466866068248</v>
      </c>
      <c r="U10">
        <v>0.77687071451132816</v>
      </c>
      <c r="V10">
        <v>0.51040983247796279</v>
      </c>
      <c r="W10">
        <v>0.80443677019695214</v>
      </c>
      <c r="X10">
        <v>0.56110394689782761</v>
      </c>
      <c r="Y10">
        <v>1.0956181727925189</v>
      </c>
      <c r="Z10">
        <v>0.46545210077854993</v>
      </c>
      <c r="AA10">
        <v>0.73406232997164189</v>
      </c>
      <c r="AB10">
        <v>0.50256688095404778</v>
      </c>
      <c r="AC10">
        <v>0.82208998645853393</v>
      </c>
      <c r="AD10">
        <v>0.43398422247308188</v>
      </c>
    </row>
    <row r="11" spans="1:30" x14ac:dyDescent="0.2">
      <c r="A11" s="1" t="s">
        <v>3</v>
      </c>
      <c r="B11">
        <v>3</v>
      </c>
      <c r="C11">
        <v>1</v>
      </c>
      <c r="D11">
        <v>3137</v>
      </c>
      <c r="E11" s="7">
        <f t="shared" si="0"/>
        <v>103.06577137107539</v>
      </c>
      <c r="F11" s="7">
        <v>8.5888142809229482</v>
      </c>
      <c r="G11">
        <v>10</v>
      </c>
      <c r="H11">
        <v>3127</v>
      </c>
      <c r="I11">
        <v>8.5614352108530625</v>
      </c>
      <c r="J11">
        <v>1</v>
      </c>
      <c r="K11">
        <v>0.78957471628632292</v>
      </c>
      <c r="L11">
        <v>0.47674533871955316</v>
      </c>
      <c r="M11">
        <v>0.92770445895075182</v>
      </c>
      <c r="N11">
        <v>0.64534929020839993</v>
      </c>
      <c r="O11">
        <v>0.86362935715135813</v>
      </c>
      <c r="P11">
        <v>0.59702672874217466</v>
      </c>
      <c r="Q11">
        <v>0.74864785324157124</v>
      </c>
      <c r="R11">
        <v>0.62865561642830625</v>
      </c>
      <c r="S11">
        <v>0.84038906935422442</v>
      </c>
      <c r="T11">
        <v>0.49791108015428609</v>
      </c>
      <c r="U11">
        <v>0.84435295192841264</v>
      </c>
      <c r="V11">
        <v>0.48521859923359639</v>
      </c>
      <c r="W11">
        <v>0.86600069481058528</v>
      </c>
      <c r="X11">
        <v>0.55498007646804504</v>
      </c>
      <c r="Y11">
        <v>1.1175777186817608</v>
      </c>
      <c r="Z11">
        <v>0.47744152596025824</v>
      </c>
      <c r="AA11">
        <v>0.76378350427051434</v>
      </c>
      <c r="AB11">
        <v>0.4883267534583694</v>
      </c>
      <c r="AC11">
        <v>0.85354205966621044</v>
      </c>
      <c r="AD11">
        <v>0.42778455827735762</v>
      </c>
    </row>
    <row r="12" spans="1:30" x14ac:dyDescent="0.2">
      <c r="A12" s="1" t="s">
        <v>3</v>
      </c>
      <c r="B12">
        <v>4</v>
      </c>
      <c r="C12">
        <v>1</v>
      </c>
      <c r="D12">
        <v>3568</v>
      </c>
      <c r="E12" s="7">
        <f t="shared" si="0"/>
        <v>117.22622641121995</v>
      </c>
      <c r="F12" s="7">
        <v>9.7688522009349956</v>
      </c>
      <c r="G12">
        <v>441</v>
      </c>
      <c r="H12">
        <v>3127</v>
      </c>
      <c r="I12">
        <v>8.5614352108530625</v>
      </c>
      <c r="J12">
        <v>2.6444385894678386</v>
      </c>
      <c r="K12">
        <v>0.7651621135480734</v>
      </c>
      <c r="L12">
        <v>0.51293236978363344</v>
      </c>
      <c r="M12">
        <v>0.74715632179743097</v>
      </c>
      <c r="N12">
        <v>0.71482614226172281</v>
      </c>
      <c r="O12">
        <v>0.79969737429649679</v>
      </c>
      <c r="P12">
        <v>0.60574690373779283</v>
      </c>
      <c r="Q12">
        <v>0.72989990802307303</v>
      </c>
      <c r="R12">
        <v>0.63534236757521856</v>
      </c>
      <c r="S12">
        <v>0.79072047671594292</v>
      </c>
      <c r="T12">
        <v>0.52973775749380136</v>
      </c>
      <c r="U12">
        <v>0.79471963172233728</v>
      </c>
      <c r="V12">
        <v>0.51234553398722771</v>
      </c>
      <c r="W12">
        <v>0.81715583399590874</v>
      </c>
      <c r="X12">
        <v>0.54671533239022696</v>
      </c>
      <c r="Y12">
        <v>1.0633612546000344</v>
      </c>
      <c r="Z12">
        <v>0.46136976865329676</v>
      </c>
      <c r="AA12">
        <v>0.7238671004993541</v>
      </c>
      <c r="AB12">
        <v>0.49828985090088185</v>
      </c>
      <c r="AC12">
        <v>0.79764032253530404</v>
      </c>
      <c r="AD12">
        <v>0.44025679307012222</v>
      </c>
    </row>
    <row r="13" spans="1:30" x14ac:dyDescent="0.2">
      <c r="A13" s="1" t="s">
        <v>4</v>
      </c>
      <c r="B13">
        <v>1</v>
      </c>
      <c r="C13">
        <v>1</v>
      </c>
      <c r="D13">
        <v>5935</v>
      </c>
      <c r="E13" s="7">
        <f t="shared" si="0"/>
        <v>194.9937370377215</v>
      </c>
      <c r="F13" s="7">
        <v>16.249478086476792</v>
      </c>
      <c r="G13">
        <v>2460</v>
      </c>
      <c r="H13">
        <v>3475</v>
      </c>
      <c r="I13">
        <v>9.5142268492850643</v>
      </c>
      <c r="J13">
        <v>3.3909351071033793</v>
      </c>
      <c r="K13">
        <v>0.74285521334660276</v>
      </c>
      <c r="L13">
        <v>0.52449835442767567</v>
      </c>
      <c r="M13">
        <v>0.76353654605868071</v>
      </c>
      <c r="N13">
        <v>0.71014026286000065</v>
      </c>
      <c r="O13">
        <v>0.82798986430360932</v>
      </c>
      <c r="P13">
        <v>0.60515102393687459</v>
      </c>
      <c r="Q13">
        <v>0.72093447499265773</v>
      </c>
      <c r="R13">
        <v>0.60208914044799011</v>
      </c>
      <c r="S13">
        <v>0.80695761093989016</v>
      </c>
      <c r="T13">
        <v>0.53436961266610727</v>
      </c>
      <c r="U13">
        <v>0.79134878079228366</v>
      </c>
      <c r="V13">
        <v>0.48217786590936518</v>
      </c>
      <c r="W13">
        <v>0.88802147418630961</v>
      </c>
      <c r="X13">
        <v>0.51094465657175392</v>
      </c>
      <c r="Y13">
        <v>1.0373615230980606</v>
      </c>
      <c r="Z13">
        <v>0.45386614987566654</v>
      </c>
      <c r="AA13">
        <v>0.70650554127088327</v>
      </c>
      <c r="AB13">
        <v>0.50309861313353621</v>
      </c>
      <c r="AC13">
        <v>0.78628388706568519</v>
      </c>
      <c r="AD13">
        <v>0.49184871352939757</v>
      </c>
    </row>
    <row r="14" spans="1:30" x14ac:dyDescent="0.2">
      <c r="A14" s="1" t="s">
        <v>5</v>
      </c>
      <c r="B14">
        <v>1</v>
      </c>
      <c r="C14">
        <v>1</v>
      </c>
      <c r="D14">
        <v>3873</v>
      </c>
      <c r="E14" s="7">
        <f t="shared" si="0"/>
        <v>127.24696605679787</v>
      </c>
      <c r="F14" s="7">
        <v>10.603913838066489</v>
      </c>
      <c r="G14">
        <v>25</v>
      </c>
      <c r="H14">
        <v>3848</v>
      </c>
      <c r="I14">
        <v>10.535466162891778</v>
      </c>
      <c r="J14">
        <v>1.3979400086720377</v>
      </c>
      <c r="K14">
        <v>0.8068315810718405</v>
      </c>
      <c r="L14">
        <v>0.54649625997404838</v>
      </c>
      <c r="M14">
        <v>0.78671087513874727</v>
      </c>
      <c r="N14">
        <v>0.71986522800519692</v>
      </c>
      <c r="O14">
        <v>0.76241735145667267</v>
      </c>
      <c r="P14">
        <v>0.65063812953474076</v>
      </c>
      <c r="Q14">
        <v>0.75016730203747628</v>
      </c>
      <c r="R14">
        <v>0.60976717676913617</v>
      </c>
      <c r="S14">
        <v>0.79610527316557278</v>
      </c>
      <c r="T14">
        <v>0.49257899298549351</v>
      </c>
      <c r="U14">
        <v>0.83851869968915493</v>
      </c>
      <c r="V14">
        <v>0.48888778069044114</v>
      </c>
      <c r="W14">
        <v>0.85710558814094673</v>
      </c>
      <c r="X14">
        <v>0.51819793490800659</v>
      </c>
      <c r="Y14">
        <v>1.1729931915252547</v>
      </c>
      <c r="Z14">
        <v>0.48076499870530637</v>
      </c>
      <c r="AA14">
        <v>0.7734653562629441</v>
      </c>
      <c r="AB14">
        <v>0.4771726928619856</v>
      </c>
      <c r="AC14">
        <v>0.78974516858926136</v>
      </c>
      <c r="AD14">
        <v>0.49736076309631694</v>
      </c>
    </row>
    <row r="15" spans="1:30" x14ac:dyDescent="0.2">
      <c r="A15" s="1" t="s">
        <v>5</v>
      </c>
      <c r="B15">
        <v>2</v>
      </c>
      <c r="C15">
        <v>1</v>
      </c>
      <c r="D15">
        <v>3908</v>
      </c>
      <c r="E15" s="7">
        <f t="shared" si="0"/>
        <v>128.39688699973306</v>
      </c>
      <c r="F15" s="7">
        <v>10.699740583311087</v>
      </c>
      <c r="G15">
        <v>60</v>
      </c>
      <c r="H15">
        <v>3848</v>
      </c>
      <c r="I15">
        <v>10.535466162891778</v>
      </c>
      <c r="J15">
        <v>1.7781512503836436</v>
      </c>
      <c r="K15">
        <v>0.81916883906997273</v>
      </c>
      <c r="L15">
        <v>0.54157137104229292</v>
      </c>
      <c r="M15">
        <v>0.7803988989720726</v>
      </c>
      <c r="N15">
        <v>0.72558711369132634</v>
      </c>
      <c r="O15">
        <v>0.77178658589557381</v>
      </c>
      <c r="P15">
        <v>0.65492596888600596</v>
      </c>
      <c r="Q15">
        <v>0.76379713411525541</v>
      </c>
      <c r="R15">
        <v>0.58618434521366758</v>
      </c>
      <c r="S15">
        <v>0.79742919438761928</v>
      </c>
      <c r="T15">
        <v>0.49599515713192543</v>
      </c>
      <c r="U15">
        <v>0.85270117182195171</v>
      </c>
      <c r="V15">
        <v>0.47778659484293895</v>
      </c>
      <c r="W15">
        <v>0.86074584784745301</v>
      </c>
      <c r="X15">
        <v>0.51579934232664393</v>
      </c>
      <c r="Y15">
        <v>1.2028805028280825</v>
      </c>
      <c r="Z15">
        <v>0.47142840021975063</v>
      </c>
      <c r="AA15">
        <v>0.78170641122454387</v>
      </c>
      <c r="AB15">
        <v>0.47702257166596962</v>
      </c>
      <c r="AC15">
        <v>0.78789692728146932</v>
      </c>
      <c r="AD15">
        <v>0.50276741319831764</v>
      </c>
    </row>
    <row r="16" spans="1:30" x14ac:dyDescent="0.2">
      <c r="A16" s="1" t="s">
        <v>5</v>
      </c>
      <c r="B16">
        <v>3</v>
      </c>
      <c r="C16">
        <v>1</v>
      </c>
      <c r="D16">
        <v>4447</v>
      </c>
      <c r="E16" s="7">
        <f t="shared" si="0"/>
        <v>146.10566952093473</v>
      </c>
      <c r="F16" s="7">
        <v>12.175472460077893</v>
      </c>
      <c r="G16">
        <v>599</v>
      </c>
      <c r="H16">
        <v>3848</v>
      </c>
      <c r="I16">
        <v>10.535466162891778</v>
      </c>
      <c r="J16">
        <v>2.7774268223893115</v>
      </c>
      <c r="K16">
        <v>0.74670893378062964</v>
      </c>
      <c r="L16">
        <v>0.504042201664755</v>
      </c>
      <c r="M16">
        <v>0.78765552632212832</v>
      </c>
      <c r="N16">
        <v>0.66540430723539612</v>
      </c>
      <c r="O16">
        <v>0.72579603665535042</v>
      </c>
      <c r="P16">
        <v>0.66864876478275104</v>
      </c>
      <c r="Q16">
        <v>0.71976567504133682</v>
      </c>
      <c r="R16">
        <v>0.60049504880749416</v>
      </c>
      <c r="S16">
        <v>0.78190949619002392</v>
      </c>
      <c r="T16">
        <v>0.51408180331662434</v>
      </c>
      <c r="U16">
        <v>0.80479069634496125</v>
      </c>
      <c r="V16">
        <v>0.47907935751967629</v>
      </c>
      <c r="W16">
        <v>0.84233424680318214</v>
      </c>
      <c r="X16">
        <v>0.49916742431948552</v>
      </c>
      <c r="Y16">
        <v>1.203431188763137</v>
      </c>
      <c r="Z16">
        <v>0.41391217784179329</v>
      </c>
      <c r="AA16">
        <v>0.73213589692017333</v>
      </c>
      <c r="AB16">
        <v>0.48275317316499394</v>
      </c>
      <c r="AC16">
        <v>0.76089881409052795</v>
      </c>
      <c r="AD16">
        <v>0.48608549491852077</v>
      </c>
    </row>
    <row r="17" spans="1:30" x14ac:dyDescent="0.2">
      <c r="A17" s="1" t="s">
        <v>5</v>
      </c>
      <c r="B17">
        <v>4</v>
      </c>
      <c r="C17">
        <v>1</v>
      </c>
      <c r="D17">
        <v>4825</v>
      </c>
      <c r="E17" s="7">
        <f t="shared" si="0"/>
        <v>158.52481570463459</v>
      </c>
      <c r="F17" s="7">
        <v>13.210401308719549</v>
      </c>
      <c r="G17">
        <v>977</v>
      </c>
      <c r="H17">
        <v>3848</v>
      </c>
      <c r="I17">
        <v>10.535466162891778</v>
      </c>
      <c r="J17">
        <v>2.989894563718773</v>
      </c>
      <c r="K17">
        <v>0.77884228933858124</v>
      </c>
      <c r="L17">
        <v>0.54340872694571885</v>
      </c>
      <c r="M17">
        <v>0.78070586590016577</v>
      </c>
      <c r="N17">
        <v>0.70959452724768646</v>
      </c>
      <c r="O17">
        <v>0.76769578655044568</v>
      </c>
      <c r="P17">
        <v>0.63063621540392856</v>
      </c>
      <c r="Q17">
        <v>0.73657676424067975</v>
      </c>
      <c r="R17">
        <v>0.59677810453220448</v>
      </c>
      <c r="S17">
        <v>0.77289943849893816</v>
      </c>
      <c r="T17">
        <v>0.50264398825636714</v>
      </c>
      <c r="U17">
        <v>0.81772950676007616</v>
      </c>
      <c r="V17">
        <v>0.46906916514194535</v>
      </c>
      <c r="W17">
        <v>0.84478335872580779</v>
      </c>
      <c r="X17">
        <v>0.51093017625525894</v>
      </c>
      <c r="Y17">
        <v>1.1092460625744571</v>
      </c>
      <c r="Z17">
        <v>0.48146860814486664</v>
      </c>
      <c r="AA17">
        <v>0.74964923533936967</v>
      </c>
      <c r="AB17">
        <v>0.48159693796186076</v>
      </c>
      <c r="AC17">
        <v>0.77072365973369628</v>
      </c>
      <c r="AD17">
        <v>0.49417709814419064</v>
      </c>
    </row>
    <row r="18" spans="1:30" x14ac:dyDescent="0.2">
      <c r="A18" s="1" t="s">
        <v>6</v>
      </c>
      <c r="B18">
        <v>1</v>
      </c>
      <c r="C18">
        <v>1</v>
      </c>
      <c r="D18">
        <v>5050</v>
      </c>
      <c r="E18" s="7">
        <f t="shared" si="0"/>
        <v>165.91716462350357</v>
      </c>
      <c r="F18" s="7">
        <v>13.826430385291964</v>
      </c>
      <c r="G18">
        <v>860</v>
      </c>
      <c r="H18">
        <v>4190</v>
      </c>
      <c r="I18">
        <v>11.471830359281848</v>
      </c>
      <c r="J18">
        <v>2.9344984512435679</v>
      </c>
      <c r="K18">
        <v>0.77590576246100484</v>
      </c>
      <c r="L18">
        <v>0.45923034263094964</v>
      </c>
      <c r="M18">
        <v>0.85599852402216636</v>
      </c>
      <c r="N18">
        <v>0.66878982597918502</v>
      </c>
      <c r="O18">
        <v>0.82241431777025353</v>
      </c>
      <c r="P18">
        <v>0.57804699887484523</v>
      </c>
      <c r="Q18">
        <v>0.72215580066992158</v>
      </c>
      <c r="R18">
        <v>0.60523016824436215</v>
      </c>
      <c r="S18">
        <v>0.76890151560682496</v>
      </c>
      <c r="T18">
        <v>0.53190226934463958</v>
      </c>
      <c r="U18">
        <v>0.76203294113413855</v>
      </c>
      <c r="V18">
        <v>0.50537844984875913</v>
      </c>
      <c r="W18">
        <v>0.80020515183286189</v>
      </c>
      <c r="X18">
        <v>0.54745561206953619</v>
      </c>
      <c r="Y18">
        <v>1.1592624965682061</v>
      </c>
      <c r="Z18">
        <v>0.47321822378256939</v>
      </c>
      <c r="AA18">
        <v>0.7150692974589723</v>
      </c>
      <c r="AB18">
        <v>0.48562274593027183</v>
      </c>
      <c r="AC18">
        <v>0.75593342439858058</v>
      </c>
      <c r="AD18">
        <v>0.44586846758049764</v>
      </c>
    </row>
    <row r="19" spans="1:30" x14ac:dyDescent="0.2">
      <c r="A19" s="1" t="s">
        <v>6</v>
      </c>
      <c r="B19">
        <v>2</v>
      </c>
      <c r="C19">
        <v>1</v>
      </c>
      <c r="D19">
        <v>5400</v>
      </c>
      <c r="E19" s="7">
        <f t="shared" si="0"/>
        <v>177.4163740528553</v>
      </c>
      <c r="F19" s="7">
        <v>14.784697837737941</v>
      </c>
      <c r="G19">
        <v>1210</v>
      </c>
      <c r="H19">
        <v>4190</v>
      </c>
      <c r="I19">
        <v>11.471830359281848</v>
      </c>
      <c r="J19">
        <v>3.0827853703164503</v>
      </c>
      <c r="K19">
        <v>0.77997440801478979</v>
      </c>
      <c r="L19">
        <v>0.45769300308301847</v>
      </c>
      <c r="M19">
        <v>0.834055279862568</v>
      </c>
      <c r="N19">
        <v>0.68454848920714029</v>
      </c>
      <c r="O19">
        <v>0.81673729220560021</v>
      </c>
      <c r="P19">
        <v>0.6166555846081393</v>
      </c>
      <c r="Q19">
        <v>0.74542796500130737</v>
      </c>
      <c r="R19">
        <v>0.60189180852215585</v>
      </c>
      <c r="S19">
        <v>0.77607624901235317</v>
      </c>
      <c r="T19">
        <v>0.5318057844574885</v>
      </c>
      <c r="U19">
        <v>0.77855682159551443</v>
      </c>
      <c r="V19">
        <v>0.50232686918995106</v>
      </c>
      <c r="W19">
        <v>0.80023743582371287</v>
      </c>
      <c r="X19">
        <v>0.55508041185137924</v>
      </c>
      <c r="Y19">
        <v>1.1950089935004531</v>
      </c>
      <c r="Z19">
        <v>0.45801792914534439</v>
      </c>
      <c r="AA19">
        <v>0.7326948847528747</v>
      </c>
      <c r="AB19">
        <v>0.4817720812958301</v>
      </c>
      <c r="AC19">
        <v>0.80267777458714862</v>
      </c>
      <c r="AD19">
        <v>0.42296195301921624</v>
      </c>
    </row>
    <row r="20" spans="1:30" x14ac:dyDescent="0.2">
      <c r="A20" s="1" t="s">
        <v>7</v>
      </c>
      <c r="B20">
        <v>1</v>
      </c>
      <c r="C20">
        <v>1</v>
      </c>
      <c r="D20">
        <v>7024</v>
      </c>
      <c r="E20" s="7">
        <f t="shared" si="0"/>
        <v>230.77270580504734</v>
      </c>
      <c r="F20" s="7">
        <v>19.231058817087277</v>
      </c>
      <c r="G20">
        <v>2607</v>
      </c>
      <c r="H20">
        <v>4417</v>
      </c>
      <c r="I20">
        <v>12.093335249868238</v>
      </c>
      <c r="J20">
        <v>3.4161410311683289</v>
      </c>
      <c r="K20">
        <v>0.7562152493243538</v>
      </c>
      <c r="L20">
        <v>0.53474860656917367</v>
      </c>
      <c r="M20">
        <v>0.75729303063962095</v>
      </c>
      <c r="N20">
        <v>0.71783471279258348</v>
      </c>
      <c r="O20">
        <v>0.77217296802883029</v>
      </c>
      <c r="P20">
        <v>0.61131195540562278</v>
      </c>
      <c r="Q20">
        <v>0.73461314516561804</v>
      </c>
      <c r="R20">
        <v>0.57697831307004599</v>
      </c>
      <c r="S20">
        <v>0.78404076243059939</v>
      </c>
      <c r="T20">
        <v>0.52300209391019403</v>
      </c>
      <c r="U20">
        <v>0.79425887170148646</v>
      </c>
      <c r="V20">
        <v>0.50101104110974559</v>
      </c>
      <c r="W20">
        <v>0.79348737579041528</v>
      </c>
      <c r="X20">
        <v>0.5496045548498073</v>
      </c>
      <c r="Y20">
        <v>1.1691928507726574</v>
      </c>
      <c r="Z20">
        <v>0.38562770001005053</v>
      </c>
      <c r="AA20">
        <v>0.74264636104864112</v>
      </c>
      <c r="AB20">
        <v>0.45600921624490354</v>
      </c>
      <c r="AC20">
        <v>0.77430965477863545</v>
      </c>
      <c r="AD20">
        <v>0.48499783016125397</v>
      </c>
    </row>
    <row r="21" spans="1:30" x14ac:dyDescent="0.2">
      <c r="A21" s="1" t="s">
        <v>8</v>
      </c>
      <c r="B21">
        <v>1</v>
      </c>
      <c r="C21">
        <v>1</v>
      </c>
      <c r="D21">
        <v>6658</v>
      </c>
      <c r="E21" s="7">
        <f t="shared" si="0"/>
        <v>218.7478182303538</v>
      </c>
      <c r="F21" s="7">
        <v>18.228984852529482</v>
      </c>
      <c r="G21">
        <v>2064</v>
      </c>
      <c r="H21">
        <v>4594</v>
      </c>
      <c r="I21">
        <v>12.577944790105203</v>
      </c>
      <c r="J21">
        <v>3.3147096929551738</v>
      </c>
      <c r="K21">
        <v>0.76609612890860224</v>
      </c>
      <c r="L21">
        <v>0.52720509436002549</v>
      </c>
      <c r="M21">
        <v>0.86754306259642866</v>
      </c>
      <c r="N21">
        <v>0.64631380969545238</v>
      </c>
      <c r="O21">
        <v>0.81327977628174486</v>
      </c>
      <c r="P21">
        <v>0.58798225974811857</v>
      </c>
      <c r="Q21">
        <v>0.71011230062780051</v>
      </c>
      <c r="R21">
        <v>0.60197619582911155</v>
      </c>
      <c r="S21">
        <v>0.79925806021012491</v>
      </c>
      <c r="T21">
        <v>0.52230072539286743</v>
      </c>
      <c r="U21">
        <v>0.79002878651425945</v>
      </c>
      <c r="V21">
        <v>0.48301849476912928</v>
      </c>
      <c r="W21">
        <v>0.80243671042757148</v>
      </c>
      <c r="X21">
        <v>0.55400049082441138</v>
      </c>
      <c r="Y21">
        <v>1.1151648657250335</v>
      </c>
      <c r="Z21">
        <v>0.45992537439064585</v>
      </c>
      <c r="AA21">
        <v>0.74308689277317297</v>
      </c>
      <c r="AB21">
        <v>0.50455592186083487</v>
      </c>
      <c r="AC21">
        <v>0.8029623885252567</v>
      </c>
      <c r="AD21">
        <v>0.45169437623621606</v>
      </c>
    </row>
    <row r="22" spans="1:30" x14ac:dyDescent="0.2">
      <c r="A22" s="1" t="s">
        <v>9</v>
      </c>
      <c r="B22">
        <v>1</v>
      </c>
      <c r="C22">
        <v>1</v>
      </c>
      <c r="D22">
        <v>4481</v>
      </c>
      <c r="E22" s="7">
        <f t="shared" si="0"/>
        <v>147.22273557978602</v>
      </c>
      <c r="F22" s="7">
        <v>12.268561298315502</v>
      </c>
      <c r="G22">
        <v>1021</v>
      </c>
      <c r="H22">
        <v>3460</v>
      </c>
      <c r="I22">
        <v>9.4731582441802367</v>
      </c>
      <c r="J22">
        <v>3.0090257420869104</v>
      </c>
      <c r="K22">
        <v>0.79729653948816304</v>
      </c>
      <c r="L22">
        <v>0.52417989437226697</v>
      </c>
      <c r="M22">
        <v>0.74943595785208206</v>
      </c>
      <c r="N22">
        <v>0.72552973330147974</v>
      </c>
      <c r="O22">
        <v>0.87471640269680184</v>
      </c>
      <c r="P22">
        <v>0.55312493243155125</v>
      </c>
      <c r="Q22">
        <v>0.74256191326640719</v>
      </c>
      <c r="R22">
        <v>0.61517339195885223</v>
      </c>
      <c r="S22">
        <v>0.81212565026570083</v>
      </c>
      <c r="T22">
        <v>0.54241719507411035</v>
      </c>
      <c r="U22">
        <v>0.79842760292700055</v>
      </c>
      <c r="V22">
        <v>0.48979733103366518</v>
      </c>
      <c r="W22">
        <v>0.81175598984870834</v>
      </c>
      <c r="X22">
        <v>0.56932012646934138</v>
      </c>
      <c r="Y22">
        <v>1.163999527915998</v>
      </c>
      <c r="Z22">
        <v>0.48682724275353745</v>
      </c>
      <c r="AA22">
        <v>0.75347587409116668</v>
      </c>
      <c r="AB22">
        <v>0.48886056990110199</v>
      </c>
      <c r="AC22">
        <v>0.83146631946596128</v>
      </c>
      <c r="AD22">
        <v>0.4537691197489111</v>
      </c>
    </row>
    <row r="23" spans="1:30" x14ac:dyDescent="0.2">
      <c r="A23" s="1" t="s">
        <v>9</v>
      </c>
      <c r="B23">
        <v>2</v>
      </c>
      <c r="C23">
        <v>1</v>
      </c>
      <c r="D23">
        <v>4982</v>
      </c>
      <c r="E23" s="7">
        <f t="shared" si="0"/>
        <v>163.68303250580092</v>
      </c>
      <c r="F23" s="7">
        <v>13.640252708816744</v>
      </c>
      <c r="G23">
        <v>1522</v>
      </c>
      <c r="H23">
        <v>3460</v>
      </c>
      <c r="I23">
        <v>9.4731582441802367</v>
      </c>
      <c r="J23">
        <v>3.182414652434554</v>
      </c>
      <c r="K23">
        <v>0.79903632250574164</v>
      </c>
      <c r="L23">
        <v>0.550877445710104</v>
      </c>
      <c r="M23">
        <v>0.76497528801184189</v>
      </c>
      <c r="N23">
        <v>0.71354151323290038</v>
      </c>
      <c r="O23">
        <v>0.80855773803034425</v>
      </c>
      <c r="P23">
        <v>0.58955333944924071</v>
      </c>
      <c r="Q23">
        <v>0.73655655751287474</v>
      </c>
      <c r="R23">
        <v>0.61126582670545204</v>
      </c>
      <c r="S23">
        <v>0.78659361893748281</v>
      </c>
      <c r="T23">
        <v>0.55627508046196628</v>
      </c>
      <c r="U23">
        <v>0.79118562424847372</v>
      </c>
      <c r="V23">
        <v>0.49570985170442894</v>
      </c>
      <c r="W23">
        <v>0.80497296281740494</v>
      </c>
      <c r="X23">
        <v>0.57134982378772137</v>
      </c>
      <c r="Y23">
        <v>1.127328338594517</v>
      </c>
      <c r="Z23">
        <v>0.44041331846755905</v>
      </c>
      <c r="AA23">
        <v>0.7350722222354964</v>
      </c>
      <c r="AB23">
        <v>0.49539967598294465</v>
      </c>
      <c r="AC23">
        <v>0.77883481140513322</v>
      </c>
      <c r="AD23">
        <v>0.47760085140602976</v>
      </c>
    </row>
    <row r="24" spans="1:30" x14ac:dyDescent="0.2">
      <c r="A24" s="1" t="s">
        <v>10</v>
      </c>
      <c r="B24">
        <v>1</v>
      </c>
      <c r="C24">
        <v>1</v>
      </c>
      <c r="D24">
        <v>5092</v>
      </c>
      <c r="E24" s="7">
        <f t="shared" si="0"/>
        <v>167.29706975502575</v>
      </c>
      <c r="F24" s="7">
        <v>13.94142247958548</v>
      </c>
      <c r="G24">
        <v>342</v>
      </c>
      <c r="H24">
        <v>4750</v>
      </c>
      <c r="I24">
        <v>13.00505828319541</v>
      </c>
      <c r="J24">
        <v>2.5340261060561349</v>
      </c>
      <c r="K24">
        <v>0.75769662028664453</v>
      </c>
      <c r="L24">
        <v>0.52286934242643013</v>
      </c>
      <c r="M24">
        <v>0.75044620577737986</v>
      </c>
      <c r="N24">
        <v>0.68831147753129396</v>
      </c>
      <c r="O24">
        <v>0.80102049070676318</v>
      </c>
      <c r="P24">
        <v>0.58525642428167757</v>
      </c>
      <c r="Q24">
        <v>0.72020442113034444</v>
      </c>
      <c r="R24">
        <v>0.593415481880055</v>
      </c>
      <c r="S24">
        <v>0.77942087653602665</v>
      </c>
      <c r="T24">
        <v>0.5546981838377667</v>
      </c>
      <c r="U24">
        <v>0.79410331892608577</v>
      </c>
      <c r="V24">
        <v>0.48839111351621706</v>
      </c>
      <c r="W24">
        <v>0.8064538062352874</v>
      </c>
      <c r="X24">
        <v>0.55050125067602518</v>
      </c>
      <c r="Y24">
        <v>1.141720670587133</v>
      </c>
      <c r="Z24">
        <v>0.49090408857563217</v>
      </c>
      <c r="AA24">
        <v>0.72398022485070324</v>
      </c>
      <c r="AB24">
        <v>0.50163054541637819</v>
      </c>
      <c r="AC24">
        <v>0.77903330498130052</v>
      </c>
      <c r="AD24">
        <v>0.49397379897459343</v>
      </c>
    </row>
    <row r="25" spans="1:30" x14ac:dyDescent="0.2">
      <c r="A25" s="1" t="s">
        <v>10</v>
      </c>
      <c r="B25">
        <v>2</v>
      </c>
      <c r="C25">
        <v>1</v>
      </c>
      <c r="D25">
        <v>5425</v>
      </c>
      <c r="E25" s="7">
        <f t="shared" si="0"/>
        <v>178.23774615495185</v>
      </c>
      <c r="F25" s="7">
        <v>14.853145512912654</v>
      </c>
      <c r="G25">
        <v>675</v>
      </c>
      <c r="H25">
        <v>4750</v>
      </c>
      <c r="I25">
        <v>13.00505828319541</v>
      </c>
      <c r="J25">
        <v>2.8293037728310249</v>
      </c>
      <c r="K25">
        <v>0.77922097438339932</v>
      </c>
      <c r="L25">
        <v>0.49922582953390904</v>
      </c>
      <c r="M25">
        <v>0.75730862851066472</v>
      </c>
      <c r="N25">
        <v>0.67298158187600554</v>
      </c>
      <c r="O25">
        <v>0.76119305357837475</v>
      </c>
      <c r="P25">
        <v>0.58605385146202493</v>
      </c>
      <c r="Q25">
        <v>0.72948518121687056</v>
      </c>
      <c r="R25">
        <v>0.58944594543558693</v>
      </c>
      <c r="S25">
        <v>0.77277924345307114</v>
      </c>
      <c r="T25">
        <v>0.53758967638006605</v>
      </c>
      <c r="U25">
        <v>0.80778453306335363</v>
      </c>
      <c r="V25">
        <v>0.46666319113190574</v>
      </c>
      <c r="W25">
        <v>0.80516569518529779</v>
      </c>
      <c r="X25">
        <v>0.52434328098889493</v>
      </c>
      <c r="Y25">
        <v>1.1098364931244711</v>
      </c>
      <c r="Z25">
        <v>0.47500435316148992</v>
      </c>
      <c r="AA25">
        <v>0.72793386890656508</v>
      </c>
      <c r="AB25">
        <v>0.49276111171584425</v>
      </c>
      <c r="AC25">
        <v>0.78343557897477445</v>
      </c>
      <c r="AD25">
        <v>0.47671876596653417</v>
      </c>
    </row>
    <row r="26" spans="1:30" x14ac:dyDescent="0.2">
      <c r="A26" s="1" t="s">
        <v>10</v>
      </c>
      <c r="B26">
        <v>3</v>
      </c>
      <c r="C26">
        <v>1</v>
      </c>
      <c r="D26">
        <v>5908</v>
      </c>
      <c r="E26" s="7">
        <f t="shared" si="0"/>
        <v>194.10665516745723</v>
      </c>
      <c r="F26" s="7">
        <v>16.175554597288102</v>
      </c>
      <c r="G26">
        <v>1158</v>
      </c>
      <c r="H26">
        <v>4750</v>
      </c>
      <c r="I26">
        <v>13.00505828319541</v>
      </c>
      <c r="J26">
        <v>3.0637085593914173</v>
      </c>
      <c r="K26">
        <v>0.74353590239563694</v>
      </c>
      <c r="L26">
        <v>0.48650085748143096</v>
      </c>
      <c r="M26">
        <v>0.77082763745089722</v>
      </c>
      <c r="N26">
        <v>0.6666466055127469</v>
      </c>
      <c r="O26">
        <v>0.75386903051140197</v>
      </c>
      <c r="P26">
        <v>0.58247829627870384</v>
      </c>
      <c r="Q26">
        <v>0.7169027047354064</v>
      </c>
      <c r="R26">
        <v>0.56257211542807117</v>
      </c>
      <c r="S26">
        <v>0.76629252191769692</v>
      </c>
      <c r="T26">
        <v>0.52165406832867411</v>
      </c>
      <c r="U26">
        <v>0.78586856398251681</v>
      </c>
      <c r="V26">
        <v>0.48484523848258265</v>
      </c>
      <c r="W26">
        <v>0.81199154360120251</v>
      </c>
      <c r="X26">
        <v>0.516157223714381</v>
      </c>
      <c r="Y26">
        <v>1.2157382093604041</v>
      </c>
      <c r="Z26">
        <v>0.38028727526705147</v>
      </c>
      <c r="AA26">
        <v>0.71791013192946163</v>
      </c>
      <c r="AB26">
        <v>0.4791252979756882</v>
      </c>
      <c r="AC26">
        <v>0.76313254687933829</v>
      </c>
      <c r="AD26">
        <v>0.43214774189189803</v>
      </c>
    </row>
    <row r="27" spans="1:30" x14ac:dyDescent="0.2">
      <c r="A27" s="1" t="s">
        <v>11</v>
      </c>
      <c r="B27">
        <v>1</v>
      </c>
      <c r="C27">
        <v>1</v>
      </c>
      <c r="D27">
        <v>5307</v>
      </c>
      <c r="E27" s="7">
        <f t="shared" si="0"/>
        <v>174.36086983305611</v>
      </c>
      <c r="F27" s="7">
        <v>14.530072486088009</v>
      </c>
      <c r="G27">
        <v>2</v>
      </c>
      <c r="H27">
        <v>5305</v>
      </c>
      <c r="I27">
        <v>14.524596672074033</v>
      </c>
      <c r="J27">
        <v>0.3010299956639812</v>
      </c>
      <c r="K27">
        <v>0.76596070336513733</v>
      </c>
      <c r="L27">
        <v>0.5351103035201612</v>
      </c>
      <c r="M27">
        <v>0.77656836877646307</v>
      </c>
      <c r="N27">
        <v>0.72701171719697477</v>
      </c>
      <c r="O27">
        <v>0.79639859147560621</v>
      </c>
      <c r="P27">
        <v>0.61741492494371086</v>
      </c>
      <c r="Q27">
        <v>0.73169220549879099</v>
      </c>
      <c r="R27">
        <v>0.59641643057852156</v>
      </c>
      <c r="S27">
        <v>0.82476725277995599</v>
      </c>
      <c r="T27">
        <v>0.52340718916203366</v>
      </c>
      <c r="U27">
        <v>0.83230827806129548</v>
      </c>
      <c r="V27">
        <v>0.47499663001608239</v>
      </c>
      <c r="W27">
        <v>0.83952706236171704</v>
      </c>
      <c r="X27">
        <v>0.53127898605534329</v>
      </c>
      <c r="Y27">
        <v>1.1497584915777193</v>
      </c>
      <c r="Z27">
        <v>0.4672336986765166</v>
      </c>
      <c r="AA27">
        <v>0.70606952969029535</v>
      </c>
      <c r="AB27">
        <v>0.52216655080025998</v>
      </c>
      <c r="AC27">
        <v>0.79617656908053591</v>
      </c>
      <c r="AD27">
        <v>0.48999235376298972</v>
      </c>
    </row>
    <row r="28" spans="1:30" x14ac:dyDescent="0.2">
      <c r="A28" s="1" t="s">
        <v>11</v>
      </c>
      <c r="B28">
        <v>2</v>
      </c>
      <c r="C28">
        <v>1</v>
      </c>
      <c r="D28">
        <v>5345</v>
      </c>
      <c r="E28" s="7">
        <f t="shared" si="0"/>
        <v>175.60935542824288</v>
      </c>
      <c r="F28" s="7">
        <v>14.634112952353574</v>
      </c>
      <c r="G28">
        <v>40</v>
      </c>
      <c r="H28">
        <v>5305</v>
      </c>
      <c r="I28">
        <v>14.524596672074033</v>
      </c>
      <c r="J28">
        <v>1.6020599913279625</v>
      </c>
      <c r="K28">
        <v>0.76534389270091707</v>
      </c>
      <c r="L28">
        <v>0.53540457177321377</v>
      </c>
      <c r="M28">
        <v>0.75705458111199764</v>
      </c>
      <c r="N28">
        <v>0.7186023433543931</v>
      </c>
      <c r="O28">
        <v>0.79721005828449054</v>
      </c>
      <c r="P28">
        <v>0.61431238770051466</v>
      </c>
      <c r="Q28">
        <v>0.73119232532783174</v>
      </c>
      <c r="R28">
        <v>0.59868030512653969</v>
      </c>
      <c r="S28">
        <v>0.81722249452673501</v>
      </c>
      <c r="T28">
        <v>0.5178557564033045</v>
      </c>
      <c r="U28">
        <v>0.83430113201043066</v>
      </c>
      <c r="V28">
        <v>0.47039119850677064</v>
      </c>
      <c r="W28">
        <v>0.8426300583761549</v>
      </c>
      <c r="X28">
        <v>0.5107907530817537</v>
      </c>
      <c r="Y28">
        <v>1.2329298066852128</v>
      </c>
      <c r="Z28">
        <v>0.4255962060855798</v>
      </c>
      <c r="AA28">
        <v>0.70980382461307245</v>
      </c>
      <c r="AB28">
        <v>0.52623283890841566</v>
      </c>
      <c r="AC28">
        <v>0.78661829760922142</v>
      </c>
      <c r="AD28">
        <v>0.48889931311989754</v>
      </c>
    </row>
    <row r="29" spans="1:30" x14ac:dyDescent="0.2">
      <c r="A29" s="1" t="s">
        <v>11</v>
      </c>
      <c r="B29">
        <v>3</v>
      </c>
      <c r="C29">
        <v>1</v>
      </c>
      <c r="D29">
        <v>5755</v>
      </c>
      <c r="E29" s="7">
        <f t="shared" si="0"/>
        <v>189.07985790262634</v>
      </c>
      <c r="F29" s="7">
        <v>15.756654825218861</v>
      </c>
      <c r="G29">
        <v>450</v>
      </c>
      <c r="H29">
        <v>5305</v>
      </c>
      <c r="I29">
        <v>14.524596672074033</v>
      </c>
      <c r="J29">
        <v>2.6532125137753435</v>
      </c>
      <c r="K29">
        <v>0.76942706347824552</v>
      </c>
      <c r="L29">
        <v>0.53432316415297099</v>
      </c>
      <c r="M29">
        <v>0.79218371907546159</v>
      </c>
      <c r="N29">
        <v>0.73184057564812866</v>
      </c>
      <c r="O29">
        <v>0.72434144134932743</v>
      </c>
      <c r="P29">
        <v>0.64602785495569959</v>
      </c>
      <c r="Q29">
        <v>0.74598393574642052</v>
      </c>
      <c r="R29">
        <v>0.60607867369875723</v>
      </c>
      <c r="S29">
        <v>0.81044043781758535</v>
      </c>
      <c r="T29">
        <v>0.5139888429985332</v>
      </c>
      <c r="U29">
        <v>0.84591137019313611</v>
      </c>
      <c r="V29">
        <v>0.46510265591266708</v>
      </c>
      <c r="W29">
        <v>0.86209718782999956</v>
      </c>
      <c r="X29">
        <v>0.50296378596543145</v>
      </c>
      <c r="Y29">
        <v>1.1592076264031057</v>
      </c>
      <c r="Z29">
        <v>0.45903438700385391</v>
      </c>
      <c r="AA29">
        <v>0.72822935266780919</v>
      </c>
      <c r="AB29">
        <v>0.50470845603865777</v>
      </c>
      <c r="AC29">
        <v>0.76996037480169432</v>
      </c>
      <c r="AD29">
        <v>0.50357175761783035</v>
      </c>
    </row>
    <row r="30" spans="1:30" x14ac:dyDescent="0.2">
      <c r="A30" s="1" t="s">
        <v>12</v>
      </c>
      <c r="B30">
        <v>1</v>
      </c>
      <c r="C30">
        <v>1</v>
      </c>
      <c r="D30">
        <v>5412</v>
      </c>
      <c r="E30" s="7">
        <f t="shared" si="0"/>
        <v>177.81063266186163</v>
      </c>
      <c r="F30" s="7">
        <v>14.817552721821803</v>
      </c>
      <c r="G30">
        <v>1356</v>
      </c>
      <c r="H30">
        <v>4056</v>
      </c>
      <c r="I30">
        <v>11.104950820345387</v>
      </c>
      <c r="J30">
        <v>3.1322596895310446</v>
      </c>
      <c r="K30">
        <v>0.78356071456782994</v>
      </c>
      <c r="L30">
        <v>0.5076504535938704</v>
      </c>
      <c r="M30">
        <v>0.8049487990511206</v>
      </c>
      <c r="N30">
        <v>0.67091481144510767</v>
      </c>
      <c r="O30">
        <v>0.86497720160166802</v>
      </c>
      <c r="P30">
        <v>0.55278784079285959</v>
      </c>
      <c r="Q30">
        <v>0.73701250791815054</v>
      </c>
      <c r="R30">
        <v>0.61601111147944254</v>
      </c>
      <c r="S30">
        <v>0.81014377198688481</v>
      </c>
      <c r="T30">
        <v>0.49787748736054516</v>
      </c>
      <c r="U30">
        <v>0.85141194139720999</v>
      </c>
      <c r="V30">
        <v>0.4669568048407563</v>
      </c>
      <c r="W30">
        <v>0.86060895590047792</v>
      </c>
      <c r="X30">
        <v>0.49535793461825001</v>
      </c>
      <c r="Y30">
        <v>1.1147781428293453</v>
      </c>
      <c r="Z30">
        <v>0.41078469341359958</v>
      </c>
      <c r="AA30">
        <v>0.75401059770668755</v>
      </c>
      <c r="AB30">
        <v>0.46775951936594051</v>
      </c>
      <c r="AC30">
        <v>0.83169932529692081</v>
      </c>
      <c r="AD30">
        <v>0.44629691532118443</v>
      </c>
    </row>
    <row r="31" spans="1:30" x14ac:dyDescent="0.2">
      <c r="A31" s="1" t="s">
        <v>12</v>
      </c>
      <c r="B31">
        <v>2</v>
      </c>
      <c r="C31">
        <v>1</v>
      </c>
      <c r="D31">
        <v>6644</v>
      </c>
      <c r="E31" s="7">
        <f t="shared" si="0"/>
        <v>218.28784985317975</v>
      </c>
      <c r="F31" s="7">
        <v>18.190654154431645</v>
      </c>
      <c r="G31">
        <v>2588</v>
      </c>
      <c r="H31">
        <v>4056</v>
      </c>
      <c r="I31">
        <v>11.104950820345387</v>
      </c>
      <c r="J31">
        <v>3.4129642719966626</v>
      </c>
      <c r="K31">
        <v>0.76711943582669584</v>
      </c>
      <c r="L31">
        <v>0.51000166750555664</v>
      </c>
      <c r="M31">
        <v>0.87759135118929754</v>
      </c>
      <c r="N31">
        <v>0.63374527372888378</v>
      </c>
      <c r="O31">
        <v>0.91813411104812892</v>
      </c>
      <c r="P31">
        <v>0.52210457290772461</v>
      </c>
      <c r="Q31">
        <v>0.74331322130976873</v>
      </c>
      <c r="R31">
        <v>0.59432596207948662</v>
      </c>
      <c r="S31">
        <v>0.81456446194189736</v>
      </c>
      <c r="T31">
        <v>0.48623038861502782</v>
      </c>
      <c r="U31">
        <v>0.83351165437604191</v>
      </c>
      <c r="V31">
        <v>0.46667043509702194</v>
      </c>
      <c r="W31">
        <v>0.89031995827064248</v>
      </c>
      <c r="X31">
        <v>0.47973121571598004</v>
      </c>
      <c r="Y31">
        <v>1.1818717192871833</v>
      </c>
      <c r="Z31">
        <v>0.35928483404248784</v>
      </c>
      <c r="AA31">
        <v>0.76034082402019731</v>
      </c>
      <c r="AB31">
        <v>0.46411529783733674</v>
      </c>
      <c r="AC31">
        <v>0.7869257796055622</v>
      </c>
      <c r="AD31">
        <v>0.42951983230139967</v>
      </c>
    </row>
    <row r="32" spans="1:30" x14ac:dyDescent="0.2">
      <c r="A32" s="1" t="s">
        <v>13</v>
      </c>
      <c r="B32">
        <v>1</v>
      </c>
      <c r="C32">
        <v>1</v>
      </c>
      <c r="D32">
        <v>8109</v>
      </c>
      <c r="E32" s="7">
        <f t="shared" si="0"/>
        <v>266.4202550360377</v>
      </c>
      <c r="F32" s="7">
        <v>22.201687919669808</v>
      </c>
      <c r="G32">
        <v>2582</v>
      </c>
      <c r="H32">
        <v>5527</v>
      </c>
      <c r="I32">
        <v>15.132412027625481</v>
      </c>
      <c r="J32">
        <v>3.4119562379304016</v>
      </c>
      <c r="K32">
        <v>0.77042349741705629</v>
      </c>
      <c r="L32">
        <v>0.51377874020378633</v>
      </c>
      <c r="M32">
        <v>0.75774910128406625</v>
      </c>
      <c r="N32">
        <v>0.7116186883878427</v>
      </c>
      <c r="O32">
        <v>0.80569248771780444</v>
      </c>
      <c r="P32">
        <v>0.58038019147036513</v>
      </c>
      <c r="Q32">
        <v>0.71944952874606671</v>
      </c>
      <c r="R32">
        <v>0.56069767492001099</v>
      </c>
      <c r="S32">
        <v>0.79430780940720225</v>
      </c>
      <c r="T32">
        <v>0.4909421619269585</v>
      </c>
      <c r="U32">
        <v>0.81045910984357117</v>
      </c>
      <c r="V32">
        <v>0.4814495316933588</v>
      </c>
      <c r="W32">
        <v>0.81553542523754063</v>
      </c>
      <c r="X32">
        <v>0.49611066279846838</v>
      </c>
      <c r="Y32">
        <v>1.0845116818980296</v>
      </c>
      <c r="Z32">
        <v>0.3515477303279721</v>
      </c>
      <c r="AA32">
        <v>0.73885846198656224</v>
      </c>
      <c r="AB32">
        <v>0.48546384805830023</v>
      </c>
      <c r="AC32">
        <v>0.7899201787600445</v>
      </c>
      <c r="AD32">
        <v>0.46800977632806673</v>
      </c>
    </row>
    <row r="33" spans="1:30" x14ac:dyDescent="0.2">
      <c r="A33" s="1" t="s">
        <v>14</v>
      </c>
      <c r="B33">
        <v>1</v>
      </c>
      <c r="C33">
        <v>1</v>
      </c>
      <c r="D33">
        <v>5704</v>
      </c>
      <c r="E33" s="7">
        <f t="shared" si="0"/>
        <v>187.40425881434936</v>
      </c>
      <c r="F33" s="7">
        <v>15.617021567862448</v>
      </c>
      <c r="G33">
        <v>-1</v>
      </c>
      <c r="H33">
        <v>5705</v>
      </c>
      <c r="I33">
        <v>15.619759474869436</v>
      </c>
      <c r="J33">
        <v>0</v>
      </c>
      <c r="K33">
        <v>0.7988419283305952</v>
      </c>
      <c r="L33">
        <v>0.52714662649222033</v>
      </c>
      <c r="M33">
        <v>0.80929005492661799</v>
      </c>
      <c r="N33">
        <v>0.70639101278581928</v>
      </c>
      <c r="O33">
        <v>0.88983843891894077</v>
      </c>
      <c r="P33">
        <v>0.56523621340324071</v>
      </c>
      <c r="Q33">
        <v>0.73607190910203957</v>
      </c>
      <c r="R33">
        <v>0.6096450498299596</v>
      </c>
      <c r="S33">
        <v>0.8180097082961828</v>
      </c>
      <c r="T33">
        <v>0.54288849404386696</v>
      </c>
      <c r="U33">
        <v>0.79182757754354438</v>
      </c>
      <c r="V33">
        <v>0.49790158494148118</v>
      </c>
      <c r="W33">
        <v>0.91096886040395764</v>
      </c>
      <c r="X33">
        <v>0.51296021552831728</v>
      </c>
      <c r="Y33">
        <v>1.0723883202595337</v>
      </c>
      <c r="Z33">
        <v>0.44207582670233225</v>
      </c>
      <c r="AA33">
        <v>0.76521950311114761</v>
      </c>
      <c r="AB33">
        <v>0.48171487662577539</v>
      </c>
      <c r="AC33">
        <v>0.81793702124237289</v>
      </c>
      <c r="AD33">
        <v>0.45508278838106558</v>
      </c>
    </row>
    <row r="34" spans="1:30" x14ac:dyDescent="0.2">
      <c r="A34" s="1" t="s">
        <v>14</v>
      </c>
      <c r="B34">
        <v>2</v>
      </c>
      <c r="C34">
        <v>1</v>
      </c>
      <c r="D34">
        <v>5711</v>
      </c>
      <c r="E34" s="7">
        <f t="shared" si="0"/>
        <v>187.63424300293639</v>
      </c>
      <c r="F34" s="7">
        <v>15.636186916911367</v>
      </c>
      <c r="G34">
        <v>6</v>
      </c>
      <c r="H34">
        <v>5705</v>
      </c>
      <c r="I34">
        <v>15.619759474869436</v>
      </c>
      <c r="J34">
        <v>0.77815125038364363</v>
      </c>
      <c r="K34">
        <v>0.79641198462821805</v>
      </c>
      <c r="L34">
        <v>0.51388802509550602</v>
      </c>
      <c r="M34">
        <v>0.82046762996567535</v>
      </c>
      <c r="N34">
        <v>0.69229684227276134</v>
      </c>
      <c r="O34">
        <v>0.89783641441567608</v>
      </c>
      <c r="P34">
        <v>0.55167444869685112</v>
      </c>
      <c r="Q34">
        <v>0.73400783953377524</v>
      </c>
      <c r="R34">
        <v>0.60825536846619044</v>
      </c>
      <c r="S34">
        <v>0.8142166741989133</v>
      </c>
      <c r="T34">
        <v>0.53803463362922554</v>
      </c>
      <c r="U34">
        <v>0.80109595893085017</v>
      </c>
      <c r="V34">
        <v>0.4875718268605273</v>
      </c>
      <c r="W34">
        <v>0.87776151816201309</v>
      </c>
      <c r="X34">
        <v>0.50445327028863329</v>
      </c>
      <c r="Y34">
        <v>1.0977131130546904</v>
      </c>
      <c r="Z34">
        <v>0.4467536006731378</v>
      </c>
      <c r="AA34">
        <v>0.76513554548687868</v>
      </c>
      <c r="AB34">
        <v>0.4574737714982432</v>
      </c>
      <c r="AC34">
        <v>0.80713952177489023</v>
      </c>
      <c r="AD34">
        <v>0.45529797604491729</v>
      </c>
    </row>
    <row r="35" spans="1:30" x14ac:dyDescent="0.2">
      <c r="A35" s="1" t="s">
        <v>14</v>
      </c>
      <c r="B35">
        <v>3</v>
      </c>
      <c r="C35">
        <v>1</v>
      </c>
      <c r="D35">
        <v>5741</v>
      </c>
      <c r="E35" s="7">
        <f t="shared" si="0"/>
        <v>188.61988952545227</v>
      </c>
      <c r="F35" s="7">
        <v>15.718324127121022</v>
      </c>
      <c r="G35">
        <v>36</v>
      </c>
      <c r="H35">
        <v>5705</v>
      </c>
      <c r="I35">
        <v>15.619759474869436</v>
      </c>
      <c r="J35">
        <v>1.5563025007672873</v>
      </c>
      <c r="K35">
        <v>0.7867521468795553</v>
      </c>
      <c r="L35">
        <v>0.52046846005979641</v>
      </c>
      <c r="M35">
        <v>0.81216284421501561</v>
      </c>
      <c r="N35">
        <v>0.69921859018066557</v>
      </c>
      <c r="O35">
        <v>0.87951165835057554</v>
      </c>
      <c r="P35">
        <v>0.56456650394754182</v>
      </c>
      <c r="Q35">
        <v>0.7282849600826522</v>
      </c>
      <c r="R35">
        <v>0.60449667682282993</v>
      </c>
      <c r="S35">
        <v>0.81228614552560963</v>
      </c>
      <c r="T35">
        <v>0.53354270835289663</v>
      </c>
      <c r="U35">
        <v>0.798634743637333</v>
      </c>
      <c r="V35">
        <v>0.50073081000492725</v>
      </c>
      <c r="W35">
        <v>0.88861699352821155</v>
      </c>
      <c r="X35">
        <v>0.50166090897771265</v>
      </c>
      <c r="Y35">
        <v>1.1194604710483342</v>
      </c>
      <c r="Z35">
        <v>0.40857264129301391</v>
      </c>
      <c r="AA35">
        <v>0.75238258923153789</v>
      </c>
      <c r="AB35">
        <v>0.47680800440667748</v>
      </c>
      <c r="AC35">
        <v>0.81952828578281911</v>
      </c>
      <c r="AD35">
        <v>0.45551317572377847</v>
      </c>
    </row>
    <row r="36" spans="1:30" x14ac:dyDescent="0.2">
      <c r="A36" s="1" t="s">
        <v>15</v>
      </c>
      <c r="B36">
        <v>1</v>
      </c>
      <c r="C36">
        <v>1</v>
      </c>
      <c r="D36">
        <v>7604</v>
      </c>
      <c r="E36" s="7">
        <f t="shared" si="0"/>
        <v>249.82853857368735</v>
      </c>
      <c r="F36" s="7">
        <v>20.819044881140613</v>
      </c>
      <c r="G36">
        <v>1326</v>
      </c>
      <c r="H36">
        <v>6278</v>
      </c>
      <c r="I36">
        <v>17.18858018987385</v>
      </c>
      <c r="J36">
        <v>3.1225435240687545</v>
      </c>
      <c r="K36">
        <v>0.77035344837859232</v>
      </c>
      <c r="L36">
        <v>0.54701711690558108</v>
      </c>
      <c r="M36">
        <v>0.74084509833211198</v>
      </c>
      <c r="N36">
        <v>0.70733575454755415</v>
      </c>
      <c r="O36">
        <v>0.82450024890262585</v>
      </c>
      <c r="P36">
        <v>0.56504772975697215</v>
      </c>
      <c r="Q36">
        <v>0.72543348132892604</v>
      </c>
      <c r="R36">
        <v>0.5908758710492078</v>
      </c>
      <c r="S36">
        <v>0.80918929099712056</v>
      </c>
      <c r="T36">
        <v>0.52762342903441328</v>
      </c>
      <c r="U36">
        <v>0.8042893858257788</v>
      </c>
      <c r="V36">
        <v>0.4943193531156978</v>
      </c>
      <c r="W36">
        <v>0.80951334007423648</v>
      </c>
      <c r="X36">
        <v>0.53731562433616875</v>
      </c>
      <c r="Y36">
        <v>1.0971684942787057</v>
      </c>
      <c r="Z36">
        <v>0.4230528460054086</v>
      </c>
      <c r="AA36">
        <v>0.73917720958421662</v>
      </c>
      <c r="AB36">
        <v>0.50379616663664617</v>
      </c>
      <c r="AC36">
        <v>0.82120567977107817</v>
      </c>
      <c r="AD36">
        <v>0.47406965100509957</v>
      </c>
    </row>
    <row r="37" spans="1:30" x14ac:dyDescent="0.2">
      <c r="A37" s="1" t="s">
        <v>15</v>
      </c>
      <c r="B37">
        <v>2</v>
      </c>
      <c r="C37">
        <v>1</v>
      </c>
      <c r="D37">
        <v>8836</v>
      </c>
      <c r="E37" s="7">
        <f t="shared" si="0"/>
        <v>290.30575576500542</v>
      </c>
      <c r="F37" s="7">
        <v>24.192146313750452</v>
      </c>
      <c r="G37">
        <v>2558</v>
      </c>
      <c r="H37">
        <v>6278</v>
      </c>
      <c r="I37">
        <v>17.18858018987385</v>
      </c>
      <c r="J37">
        <v>3.4079005401426352</v>
      </c>
      <c r="K37">
        <v>0.76661661286859073</v>
      </c>
      <c r="L37">
        <v>0.57057437074525996</v>
      </c>
      <c r="M37">
        <v>0.76083053673110945</v>
      </c>
      <c r="N37">
        <v>0.68611992170379521</v>
      </c>
      <c r="O37">
        <v>0.79960294844860225</v>
      </c>
      <c r="P37">
        <v>0.56997272448346548</v>
      </c>
      <c r="Q37">
        <v>0.7203758336244297</v>
      </c>
      <c r="R37">
        <v>0.59032930350656365</v>
      </c>
      <c r="S37">
        <v>0.80112201543279193</v>
      </c>
      <c r="T37">
        <v>0.54654036658014848</v>
      </c>
      <c r="U37">
        <v>0.79366386944000267</v>
      </c>
      <c r="V37">
        <v>0.4827064390089767</v>
      </c>
      <c r="W37">
        <v>0.79926043848389061</v>
      </c>
      <c r="X37">
        <v>0.54395865574652547</v>
      </c>
      <c r="Y37">
        <v>1.1693444933419357</v>
      </c>
      <c r="Z37">
        <v>0.44230335436141999</v>
      </c>
      <c r="AA37">
        <v>0.73978996222103643</v>
      </c>
      <c r="AB37">
        <v>0.51684983167993959</v>
      </c>
      <c r="AC37">
        <v>0.80393426020619396</v>
      </c>
      <c r="AD37">
        <v>0.47295723481561225</v>
      </c>
    </row>
    <row r="38" spans="1:30" x14ac:dyDescent="0.2">
      <c r="A38" s="1" t="s">
        <v>16</v>
      </c>
      <c r="B38">
        <v>1</v>
      </c>
      <c r="C38">
        <v>1</v>
      </c>
      <c r="D38">
        <v>5851</v>
      </c>
      <c r="E38" s="7">
        <f t="shared" si="0"/>
        <v>192.23392677467712</v>
      </c>
      <c r="F38" s="7">
        <v>16.01949389788976</v>
      </c>
      <c r="G38">
        <v>-1</v>
      </c>
      <c r="H38">
        <v>5852</v>
      </c>
      <c r="I38">
        <v>16.022231804896748</v>
      </c>
      <c r="J38">
        <v>0</v>
      </c>
      <c r="K38">
        <v>0.7640479244645072</v>
      </c>
      <c r="L38">
        <v>0.52211357073597164</v>
      </c>
      <c r="M38">
        <v>0.76112230069236786</v>
      </c>
      <c r="N38">
        <v>0.71605914719763963</v>
      </c>
      <c r="O38">
        <v>0.7733944142476481</v>
      </c>
      <c r="P38">
        <v>0.63737780293811164</v>
      </c>
      <c r="Q38">
        <v>0.73155840847791276</v>
      </c>
      <c r="R38">
        <v>0.58669905088305352</v>
      </c>
      <c r="S38">
        <v>0.76846361238584193</v>
      </c>
      <c r="T38">
        <v>0.51499432417878999</v>
      </c>
      <c r="U38">
        <v>0.7823008574433169</v>
      </c>
      <c r="V38">
        <v>0.51658704019790214</v>
      </c>
      <c r="W38">
        <v>0.8038948672428381</v>
      </c>
      <c r="X38">
        <v>0.54088776538154548</v>
      </c>
      <c r="Y38">
        <v>1.1641399661821374</v>
      </c>
      <c r="Z38">
        <v>0.49450405880932485</v>
      </c>
      <c r="AA38">
        <v>0.73687679869005041</v>
      </c>
      <c r="AB38">
        <v>0.49363181982345827</v>
      </c>
      <c r="AC38">
        <v>0.77787378446480826</v>
      </c>
      <c r="AD38">
        <v>0.47627619790190778</v>
      </c>
    </row>
    <row r="39" spans="1:30" x14ac:dyDescent="0.2">
      <c r="A39" s="1" t="s">
        <v>16</v>
      </c>
      <c r="B39">
        <v>2</v>
      </c>
      <c r="C39">
        <v>1</v>
      </c>
      <c r="D39">
        <v>5858</v>
      </c>
      <c r="E39" s="7">
        <f t="shared" si="0"/>
        <v>192.46391096326414</v>
      </c>
      <c r="F39" s="7">
        <v>16.038659246938678</v>
      </c>
      <c r="G39">
        <v>6</v>
      </c>
      <c r="H39">
        <v>5852</v>
      </c>
      <c r="I39">
        <v>16.022231804896748</v>
      </c>
      <c r="J39">
        <v>0.77815125038364363</v>
      </c>
      <c r="K39">
        <v>0.75473985494568818</v>
      </c>
      <c r="L39">
        <v>0.51039612852495353</v>
      </c>
      <c r="M39">
        <v>0.75743570079184597</v>
      </c>
      <c r="N39">
        <v>0.71004968417382086</v>
      </c>
      <c r="O39">
        <v>0.79662799355472536</v>
      </c>
      <c r="P39">
        <v>0.60845540210951043</v>
      </c>
      <c r="Q39">
        <v>0.71537023629674812</v>
      </c>
      <c r="R39">
        <v>0.5948110999358267</v>
      </c>
      <c r="S39">
        <v>0.76484865027450888</v>
      </c>
      <c r="T39">
        <v>0.50039589496517212</v>
      </c>
      <c r="U39">
        <v>0.77130228874513418</v>
      </c>
      <c r="V39">
        <v>0.51599420747473101</v>
      </c>
      <c r="W39">
        <v>0.80562237706760853</v>
      </c>
      <c r="X39">
        <v>0.53568469844381494</v>
      </c>
      <c r="Y39">
        <v>1.15353322296408</v>
      </c>
      <c r="Z39">
        <v>0.46890254606514531</v>
      </c>
      <c r="AA39">
        <v>0.71724372258562297</v>
      </c>
      <c r="AB39">
        <v>0.48718654617113727</v>
      </c>
      <c r="AC39">
        <v>0.76704937178735688</v>
      </c>
      <c r="AD39">
        <v>0.47090426062898583</v>
      </c>
    </row>
    <row r="40" spans="1:30" x14ac:dyDescent="0.2">
      <c r="A40" s="1" t="s">
        <v>16</v>
      </c>
      <c r="B40">
        <v>3</v>
      </c>
      <c r="C40">
        <v>1</v>
      </c>
      <c r="D40">
        <v>5865</v>
      </c>
      <c r="E40" s="7">
        <f t="shared" si="0"/>
        <v>192.69389515185117</v>
      </c>
      <c r="F40" s="7">
        <v>16.057824595987597</v>
      </c>
      <c r="G40">
        <v>13</v>
      </c>
      <c r="H40">
        <v>5852</v>
      </c>
      <c r="I40">
        <v>16.022231804896748</v>
      </c>
      <c r="J40">
        <v>1.1139433523068367</v>
      </c>
      <c r="K40">
        <v>0.80845586948480841</v>
      </c>
      <c r="L40">
        <v>0.50125399613546662</v>
      </c>
      <c r="M40">
        <v>0.79874869768284296</v>
      </c>
      <c r="N40">
        <v>0.67263284232900789</v>
      </c>
      <c r="O40">
        <v>0.86283604843643502</v>
      </c>
      <c r="P40">
        <v>0.57936105944571081</v>
      </c>
      <c r="Q40">
        <v>0.70936841613314661</v>
      </c>
      <c r="R40">
        <v>0.60041955081077092</v>
      </c>
      <c r="S40">
        <v>0.78293425760402025</v>
      </c>
      <c r="T40">
        <v>0.49202494155292353</v>
      </c>
      <c r="U40">
        <v>0.78858180095652852</v>
      </c>
      <c r="V40">
        <v>0.51188774187785635</v>
      </c>
      <c r="W40">
        <v>0.81612666858154004</v>
      </c>
      <c r="X40">
        <v>0.5168678449211096</v>
      </c>
      <c r="Y40">
        <v>1.0618950172543706</v>
      </c>
      <c r="Z40">
        <v>0.46990175556468883</v>
      </c>
      <c r="AA40">
        <v>0.74432626729889717</v>
      </c>
      <c r="AB40">
        <v>0.47918975887111753</v>
      </c>
      <c r="AC40">
        <v>0.80769578548607046</v>
      </c>
      <c r="AD40">
        <v>0.44354326732785287</v>
      </c>
    </row>
    <row r="41" spans="1:30" x14ac:dyDescent="0.2">
      <c r="A41" s="1" t="s">
        <v>16</v>
      </c>
      <c r="B41">
        <v>4</v>
      </c>
      <c r="C41">
        <v>1</v>
      </c>
      <c r="D41">
        <v>5893</v>
      </c>
      <c r="E41" s="7">
        <f t="shared" si="0"/>
        <v>193.61383190619932</v>
      </c>
      <c r="F41" s="7">
        <v>16.134485992183276</v>
      </c>
      <c r="G41">
        <v>41</v>
      </c>
      <c r="H41">
        <v>5852</v>
      </c>
      <c r="I41">
        <v>16.022231804896748</v>
      </c>
      <c r="J41">
        <v>1.6127838567197355</v>
      </c>
      <c r="K41">
        <v>0.73996896735049256</v>
      </c>
      <c r="L41">
        <v>0.51747242449848874</v>
      </c>
      <c r="M41">
        <v>0.76205518443613873</v>
      </c>
      <c r="N41">
        <v>0.71391525955371915</v>
      </c>
      <c r="O41">
        <v>0.75515723020290382</v>
      </c>
      <c r="P41">
        <v>0.63614869115772621</v>
      </c>
      <c r="Q41">
        <v>0.72403072957381709</v>
      </c>
      <c r="R41">
        <v>0.5863356591207004</v>
      </c>
      <c r="S41">
        <v>0.76607435843882865</v>
      </c>
      <c r="T41">
        <v>0.50024604325940103</v>
      </c>
      <c r="U41">
        <v>0.78091430540493234</v>
      </c>
      <c r="V41">
        <v>0.51386410179998943</v>
      </c>
      <c r="W41">
        <v>0.81111842689640989</v>
      </c>
      <c r="X41">
        <v>0.53644120297861908</v>
      </c>
      <c r="Y41">
        <v>1.1381683328444037</v>
      </c>
      <c r="Z41">
        <v>0.46829194533024082</v>
      </c>
      <c r="AA41">
        <v>0.72562806160133841</v>
      </c>
      <c r="AB41">
        <v>0.47966733327949862</v>
      </c>
      <c r="AC41">
        <v>0.7708227607112309</v>
      </c>
      <c r="AD41">
        <v>0.4769608092429814</v>
      </c>
    </row>
    <row r="42" spans="1:30" x14ac:dyDescent="0.2">
      <c r="A42" s="1" t="s">
        <v>16</v>
      </c>
      <c r="B42">
        <v>5</v>
      </c>
      <c r="C42">
        <v>1</v>
      </c>
      <c r="D42">
        <v>6236</v>
      </c>
      <c r="E42" s="7">
        <f t="shared" si="0"/>
        <v>204.88305714696401</v>
      </c>
      <c r="F42" s="7">
        <v>17.073588095580334</v>
      </c>
      <c r="G42">
        <v>384</v>
      </c>
      <c r="H42">
        <v>5852</v>
      </c>
      <c r="I42">
        <v>16.022231804896748</v>
      </c>
      <c r="J42">
        <v>2.5843312243675309</v>
      </c>
      <c r="K42">
        <v>0.71540050102293384</v>
      </c>
      <c r="L42">
        <v>0.51430333571420483</v>
      </c>
      <c r="M42">
        <v>0.7581816695374054</v>
      </c>
      <c r="N42">
        <v>0.70309545877531654</v>
      </c>
      <c r="O42">
        <v>0.7258950361317188</v>
      </c>
      <c r="P42">
        <v>0.63424362737093065</v>
      </c>
      <c r="Q42">
        <v>0.69236188868716275</v>
      </c>
      <c r="R42">
        <v>0.59553975084230804</v>
      </c>
      <c r="S42">
        <v>0.73229619172191041</v>
      </c>
      <c r="T42">
        <v>0.51013741230658494</v>
      </c>
      <c r="U42">
        <v>0.72820076090129759</v>
      </c>
      <c r="V42">
        <v>0.50158499622794461</v>
      </c>
      <c r="W42">
        <v>0.77967984420327896</v>
      </c>
      <c r="X42">
        <v>0.53844160950607145</v>
      </c>
      <c r="Y42">
        <v>1.118516646405618</v>
      </c>
      <c r="Z42">
        <v>0.45618750279729409</v>
      </c>
      <c r="AA42">
        <v>0.69457503685754574</v>
      </c>
      <c r="AB42">
        <v>0.48595773745533688</v>
      </c>
      <c r="AC42">
        <v>0.73138540718594824</v>
      </c>
      <c r="AD42">
        <v>0.4669276997275979</v>
      </c>
    </row>
    <row r="43" spans="1:30" x14ac:dyDescent="0.2">
      <c r="A43" s="1" t="s">
        <v>17</v>
      </c>
      <c r="B43">
        <v>1</v>
      </c>
      <c r="C43">
        <v>1</v>
      </c>
      <c r="D43">
        <v>5325</v>
      </c>
      <c r="E43" s="7">
        <f t="shared" si="0"/>
        <v>174.95225774656564</v>
      </c>
      <c r="F43" s="7">
        <v>14.579354812213802</v>
      </c>
      <c r="G43">
        <v>16</v>
      </c>
      <c r="H43">
        <v>5309</v>
      </c>
      <c r="I43">
        <v>14.535548300101986</v>
      </c>
      <c r="J43">
        <v>1.2041199826559248</v>
      </c>
      <c r="K43">
        <v>0.7790666794227783</v>
      </c>
      <c r="L43">
        <v>0.48385987828257876</v>
      </c>
      <c r="M43">
        <v>0.77493244301653175</v>
      </c>
      <c r="N43">
        <v>0.70119646134911551</v>
      </c>
      <c r="O43">
        <v>0.7833884688923537</v>
      </c>
      <c r="P43">
        <v>0.59271542136327615</v>
      </c>
      <c r="Q43">
        <v>0.73764488323805988</v>
      </c>
      <c r="R43">
        <v>0.59376507660481725</v>
      </c>
      <c r="S43">
        <v>0.7980925573595764</v>
      </c>
      <c r="T43">
        <v>0.49397244461890255</v>
      </c>
      <c r="U43">
        <v>0.82711728133482476</v>
      </c>
      <c r="V43">
        <v>0.4522882176474301</v>
      </c>
      <c r="W43">
        <v>0.82965730474935973</v>
      </c>
      <c r="X43">
        <v>0.48565221214678661</v>
      </c>
      <c r="Y43">
        <v>1.1902677826586758</v>
      </c>
      <c r="Z43">
        <v>0.40687744447893781</v>
      </c>
      <c r="AA43">
        <v>0.76433479102291746</v>
      </c>
      <c r="AB43">
        <v>0.45766389971239779</v>
      </c>
      <c r="AC43">
        <v>0.81159641529925042</v>
      </c>
      <c r="AD43">
        <v>0.45705267872288602</v>
      </c>
    </row>
    <row r="44" spans="1:30" x14ac:dyDescent="0.2">
      <c r="A44" s="1" t="s">
        <v>17</v>
      </c>
      <c r="B44">
        <v>2</v>
      </c>
      <c r="C44">
        <v>1</v>
      </c>
      <c r="D44">
        <v>5381</v>
      </c>
      <c r="E44" s="7">
        <f t="shared" si="0"/>
        <v>176.79213125526192</v>
      </c>
      <c r="F44" s="7">
        <v>14.73267760460516</v>
      </c>
      <c r="G44">
        <v>72</v>
      </c>
      <c r="H44">
        <v>5309</v>
      </c>
      <c r="I44">
        <v>14.535548300101986</v>
      </c>
      <c r="J44">
        <v>1.8573324964312685</v>
      </c>
      <c r="K44">
        <v>0.79085985793691582</v>
      </c>
      <c r="L44">
        <v>0.48708746136889908</v>
      </c>
      <c r="M44">
        <v>0.78286706141768592</v>
      </c>
      <c r="N44">
        <v>0.69665990254218979</v>
      </c>
      <c r="O44">
        <v>0.85049981841244349</v>
      </c>
      <c r="P44">
        <v>0.56923974023889268</v>
      </c>
      <c r="Q44">
        <v>0.73685725058556073</v>
      </c>
      <c r="R44">
        <v>0.58120998081478159</v>
      </c>
      <c r="S44">
        <v>0.81627129757346695</v>
      </c>
      <c r="T44">
        <v>0.49655185104352295</v>
      </c>
      <c r="U44">
        <v>0.81421633951848826</v>
      </c>
      <c r="V44">
        <v>0.44880162753463954</v>
      </c>
      <c r="W44">
        <v>0.83048733358486237</v>
      </c>
      <c r="X44">
        <v>0.49205546750256063</v>
      </c>
      <c r="Y44">
        <v>1.1629059930543577</v>
      </c>
      <c r="Z44">
        <v>0.39742945549941128</v>
      </c>
      <c r="AA44">
        <v>0.76755489626712514</v>
      </c>
      <c r="AB44">
        <v>0.44566902912388151</v>
      </c>
      <c r="AC44">
        <v>0.83724624742484366</v>
      </c>
      <c r="AD44">
        <v>0.4263313164446102</v>
      </c>
    </row>
    <row r="45" spans="1:30" x14ac:dyDescent="0.2">
      <c r="A45" s="1" t="s">
        <v>17</v>
      </c>
      <c r="B45">
        <v>3</v>
      </c>
      <c r="C45">
        <v>1</v>
      </c>
      <c r="D45">
        <v>5465</v>
      </c>
      <c r="E45" s="7">
        <f t="shared" si="0"/>
        <v>179.55194151830631</v>
      </c>
      <c r="F45" s="7">
        <v>14.962661793192193</v>
      </c>
      <c r="G45">
        <v>156</v>
      </c>
      <c r="H45">
        <v>5309</v>
      </c>
      <c r="I45">
        <v>14.535548300101986</v>
      </c>
      <c r="J45">
        <v>2.1931245983544616</v>
      </c>
      <c r="K45">
        <v>0.76959725169233051</v>
      </c>
      <c r="L45">
        <v>0.50746969685709742</v>
      </c>
      <c r="M45">
        <v>0.75616332045825829</v>
      </c>
      <c r="N45">
        <v>0.72109711541516364</v>
      </c>
      <c r="O45">
        <v>0.80444111971189736</v>
      </c>
      <c r="P45">
        <v>0.58549627997791265</v>
      </c>
      <c r="Q45">
        <v>0.71182662534777053</v>
      </c>
      <c r="R45">
        <v>0.61573056923503633</v>
      </c>
      <c r="S45">
        <v>0.7890479207097908</v>
      </c>
      <c r="T45">
        <v>0.51763555797745808</v>
      </c>
      <c r="U45">
        <v>0.80121598321640131</v>
      </c>
      <c r="V45">
        <v>0.45388415443498331</v>
      </c>
      <c r="W45">
        <v>0.81021956471068868</v>
      </c>
      <c r="X45">
        <v>0.50356293771500549</v>
      </c>
      <c r="Y45">
        <v>1.1261604629427882</v>
      </c>
      <c r="Z45">
        <v>0.43751221904303988</v>
      </c>
      <c r="AA45">
        <v>0.73526912692737856</v>
      </c>
      <c r="AB45">
        <v>0.46646838932054174</v>
      </c>
      <c r="AC45">
        <v>0.7969047609047557</v>
      </c>
      <c r="AD45">
        <v>0.47270873391872659</v>
      </c>
    </row>
    <row r="46" spans="1:30" x14ac:dyDescent="0.2">
      <c r="A46" s="1" t="s">
        <v>17</v>
      </c>
      <c r="B46">
        <v>4</v>
      </c>
      <c r="C46">
        <v>1</v>
      </c>
      <c r="D46">
        <v>5630</v>
      </c>
      <c r="E46" s="7">
        <f t="shared" si="0"/>
        <v>184.97299739214358</v>
      </c>
      <c r="F46" s="7">
        <v>15.414416449345298</v>
      </c>
      <c r="G46">
        <v>321</v>
      </c>
      <c r="H46">
        <v>5309</v>
      </c>
      <c r="I46">
        <v>14.535548300101986</v>
      </c>
      <c r="J46">
        <v>2.5065050324048719</v>
      </c>
      <c r="K46">
        <v>0.7544963767435251</v>
      </c>
      <c r="L46">
        <v>0.49960416472731317</v>
      </c>
      <c r="M46">
        <v>0.77391459680365027</v>
      </c>
      <c r="N46">
        <v>0.69353774435508808</v>
      </c>
      <c r="O46">
        <v>0.7552057478447447</v>
      </c>
      <c r="P46">
        <v>0.60355848841612869</v>
      </c>
      <c r="Q46">
        <v>0.71877098652511429</v>
      </c>
      <c r="R46">
        <v>0.60492021010170238</v>
      </c>
      <c r="S46">
        <v>0.77734195340639411</v>
      </c>
      <c r="T46">
        <v>0.5258683742573298</v>
      </c>
      <c r="U46">
        <v>0.80965990433701973</v>
      </c>
      <c r="V46">
        <v>0.44861677715366433</v>
      </c>
      <c r="W46">
        <v>0.82781389159872965</v>
      </c>
      <c r="X46">
        <v>0.49263081180023532</v>
      </c>
      <c r="Y46">
        <v>1.2031543915550882</v>
      </c>
      <c r="Z46">
        <v>0.39361056144643786</v>
      </c>
      <c r="AA46">
        <v>0.74305223355604955</v>
      </c>
      <c r="AB46">
        <v>0.46169525229253799</v>
      </c>
      <c r="AC46">
        <v>0.79096159417948597</v>
      </c>
      <c r="AD46">
        <v>0.45849504803040447</v>
      </c>
    </row>
    <row r="47" spans="1:30" x14ac:dyDescent="0.2">
      <c r="A47" s="1" t="s">
        <v>18</v>
      </c>
      <c r="B47">
        <v>1</v>
      </c>
      <c r="C47">
        <v>1</v>
      </c>
      <c r="D47">
        <v>6511</v>
      </c>
      <c r="E47" s="7">
        <f t="shared" si="0"/>
        <v>213.9181502700261</v>
      </c>
      <c r="F47" s="7">
        <v>17.826512522502174</v>
      </c>
      <c r="G47">
        <v>-16</v>
      </c>
      <c r="H47">
        <v>6527</v>
      </c>
      <c r="I47">
        <v>17.870319034613988</v>
      </c>
      <c r="J47">
        <v>0</v>
      </c>
      <c r="K47">
        <v>0.771623099831795</v>
      </c>
      <c r="L47">
        <v>0.54550003048111362</v>
      </c>
      <c r="M47">
        <v>0.89696641077751171</v>
      </c>
      <c r="N47">
        <v>0.63892055747511267</v>
      </c>
      <c r="O47">
        <v>0.7673702994796362</v>
      </c>
      <c r="P47">
        <v>0.62791290049861481</v>
      </c>
      <c r="Q47">
        <v>0.73336729564084835</v>
      </c>
      <c r="R47">
        <v>0.60984500372657424</v>
      </c>
      <c r="S47">
        <v>0.78526069130802634</v>
      </c>
      <c r="T47">
        <v>0.51460667042153108</v>
      </c>
      <c r="U47">
        <v>0.84315067754134831</v>
      </c>
      <c r="V47">
        <v>0.44600884107540778</v>
      </c>
      <c r="W47">
        <v>0.83010421384810118</v>
      </c>
      <c r="X47">
        <v>0.52908788719868283</v>
      </c>
      <c r="Y47">
        <v>1.0733749318853814</v>
      </c>
      <c r="Z47">
        <v>0.45587435940406407</v>
      </c>
      <c r="AA47">
        <v>0.75697663170591956</v>
      </c>
      <c r="AB47">
        <v>0.51570436648834672</v>
      </c>
      <c r="AC47">
        <v>0.79521227069264289</v>
      </c>
      <c r="AD47">
        <v>0.46011750274116503</v>
      </c>
    </row>
    <row r="48" spans="1:30" x14ac:dyDescent="0.2">
      <c r="A48" s="1" t="s">
        <v>19</v>
      </c>
      <c r="B48">
        <v>1</v>
      </c>
      <c r="C48">
        <v>1</v>
      </c>
      <c r="D48">
        <v>2782</v>
      </c>
      <c r="E48" s="7">
        <f t="shared" si="0"/>
        <v>91.402287521304345</v>
      </c>
      <c r="F48" s="7">
        <v>7.6168572934420284</v>
      </c>
      <c r="G48">
        <v>-36</v>
      </c>
      <c r="H48">
        <v>2818</v>
      </c>
      <c r="I48">
        <v>7.7154219456936142</v>
      </c>
      <c r="J48">
        <v>0</v>
      </c>
      <c r="K48">
        <v>0.80535560522015248</v>
      </c>
      <c r="L48">
        <v>0.43574457821750123</v>
      </c>
      <c r="M48">
        <v>0.78526607011398164</v>
      </c>
      <c r="N48">
        <v>0.65749168913562206</v>
      </c>
      <c r="O48">
        <v>0.84687826953016343</v>
      </c>
      <c r="P48">
        <v>0.56546682018693883</v>
      </c>
      <c r="Q48">
        <v>0.77328246600054906</v>
      </c>
      <c r="R48">
        <v>0.61080218226349847</v>
      </c>
      <c r="S48">
        <v>0.81877267579080948</v>
      </c>
      <c r="T48">
        <v>0.47774314439340992</v>
      </c>
      <c r="U48">
        <v>0.86397922207007005</v>
      </c>
      <c r="V48">
        <v>0.41200800190107084</v>
      </c>
      <c r="W48">
        <v>0.84513186760871251</v>
      </c>
      <c r="X48">
        <v>0.47735877141997352</v>
      </c>
      <c r="Y48">
        <v>1.2531048428815623</v>
      </c>
      <c r="Z48">
        <v>0.39403838559145365</v>
      </c>
      <c r="AA48">
        <v>0.79862014986376417</v>
      </c>
      <c r="AB48">
        <v>0.43407035103788899</v>
      </c>
      <c r="AC48">
        <v>0.84360573732094424</v>
      </c>
      <c r="AD48">
        <v>0.44654783097133227</v>
      </c>
    </row>
    <row r="49" spans="1:30" x14ac:dyDescent="0.2">
      <c r="A49" s="1" t="s">
        <v>20</v>
      </c>
      <c r="B49">
        <v>1</v>
      </c>
      <c r="C49">
        <v>1</v>
      </c>
      <c r="D49">
        <v>3864</v>
      </c>
      <c r="E49" s="7">
        <f t="shared" si="0"/>
        <v>126.95127210004313</v>
      </c>
      <c r="F49" s="7">
        <v>10.579272675003594</v>
      </c>
      <c r="G49">
        <v>6</v>
      </c>
      <c r="H49">
        <v>3858</v>
      </c>
      <c r="I49">
        <v>10.562845232961662</v>
      </c>
      <c r="J49">
        <v>0.77815125038364363</v>
      </c>
      <c r="K49">
        <v>0.78180488624674405</v>
      </c>
      <c r="L49">
        <v>0.46365083729117229</v>
      </c>
      <c r="M49">
        <v>0.73638935765598434</v>
      </c>
      <c r="N49">
        <v>0.67419238733803977</v>
      </c>
      <c r="O49">
        <v>0.85816270307485765</v>
      </c>
      <c r="P49">
        <v>0.5405290082489691</v>
      </c>
      <c r="Q49">
        <v>0.73352139654365056</v>
      </c>
      <c r="R49">
        <v>0.58173928140673925</v>
      </c>
      <c r="S49">
        <v>0.79173787187048617</v>
      </c>
      <c r="T49">
        <v>0.50898845185699004</v>
      </c>
      <c r="U49">
        <v>0.79701659173411987</v>
      </c>
      <c r="V49">
        <v>0.48498637088625773</v>
      </c>
      <c r="W49">
        <v>0.80550964173511641</v>
      </c>
      <c r="X49">
        <v>0.49749260798903511</v>
      </c>
      <c r="Y49">
        <v>1.1961727595135352</v>
      </c>
      <c r="Z49">
        <v>0.42635615661313553</v>
      </c>
      <c r="AA49">
        <v>0.74847112239197111</v>
      </c>
      <c r="AB49">
        <v>0.44385143143783357</v>
      </c>
      <c r="AC49">
        <v>0.82106540113187942</v>
      </c>
      <c r="AD49">
        <v>0.45560762290380519</v>
      </c>
    </row>
    <row r="50" spans="1:30" x14ac:dyDescent="0.2">
      <c r="A50" s="1" t="s">
        <v>20</v>
      </c>
      <c r="B50">
        <v>2</v>
      </c>
      <c r="C50">
        <v>1</v>
      </c>
      <c r="D50">
        <v>3920</v>
      </c>
      <c r="E50" s="7">
        <f t="shared" si="0"/>
        <v>128.79114560873938</v>
      </c>
      <c r="F50" s="7">
        <v>10.732595467394949</v>
      </c>
      <c r="G50">
        <v>62</v>
      </c>
      <c r="H50">
        <v>3858</v>
      </c>
      <c r="I50">
        <v>10.562845232961662</v>
      </c>
      <c r="J50">
        <v>1.7923916894982539</v>
      </c>
      <c r="K50">
        <v>0.78647155805742763</v>
      </c>
      <c r="L50">
        <v>0.46830999534393597</v>
      </c>
      <c r="M50">
        <v>0.73359486414415476</v>
      </c>
      <c r="N50">
        <v>0.67874815789731024</v>
      </c>
      <c r="O50">
        <v>0.86466326897569989</v>
      </c>
      <c r="P50">
        <v>0.55035496209884616</v>
      </c>
      <c r="Q50">
        <v>0.73561092278224482</v>
      </c>
      <c r="R50">
        <v>0.57230944913248682</v>
      </c>
      <c r="S50">
        <v>0.78955872673692562</v>
      </c>
      <c r="T50">
        <v>0.50933827922305319</v>
      </c>
      <c r="U50">
        <v>0.79908953057057908</v>
      </c>
      <c r="V50">
        <v>0.47758066038283536</v>
      </c>
      <c r="W50">
        <v>0.81716538470267452</v>
      </c>
      <c r="X50">
        <v>0.4924279309721703</v>
      </c>
      <c r="Y50">
        <v>1.2289574187181516</v>
      </c>
      <c r="Z50">
        <v>0.40833483250122116</v>
      </c>
      <c r="AA50">
        <v>0.76929077085271169</v>
      </c>
      <c r="AB50">
        <v>0.43782349009802279</v>
      </c>
      <c r="AC50">
        <v>0.8274126590927573</v>
      </c>
      <c r="AD50">
        <v>0.45749006754580579</v>
      </c>
    </row>
    <row r="51" spans="1:30" x14ac:dyDescent="0.2">
      <c r="A51" s="1" t="s">
        <v>20</v>
      </c>
      <c r="B51">
        <v>3</v>
      </c>
      <c r="C51">
        <v>1</v>
      </c>
      <c r="D51">
        <v>4004</v>
      </c>
      <c r="E51" s="7">
        <f t="shared" si="0"/>
        <v>131.55095587178383</v>
      </c>
      <c r="F51" s="7">
        <v>10.962579655981985</v>
      </c>
      <c r="G51">
        <v>146</v>
      </c>
      <c r="H51">
        <v>3858</v>
      </c>
      <c r="I51">
        <v>10.562845232961662</v>
      </c>
      <c r="J51">
        <v>2.1643528557844371</v>
      </c>
      <c r="K51">
        <v>0.8017802350852673</v>
      </c>
      <c r="L51">
        <v>0.47438447885271334</v>
      </c>
      <c r="M51">
        <v>0.71955032609925906</v>
      </c>
      <c r="N51">
        <v>0.6939503109847418</v>
      </c>
      <c r="O51">
        <v>0.87183373414596232</v>
      </c>
      <c r="P51">
        <v>0.52640505199977516</v>
      </c>
      <c r="Q51">
        <v>0.72429925785294003</v>
      </c>
      <c r="R51">
        <v>0.57141212194507018</v>
      </c>
      <c r="S51">
        <v>0.77590417149611002</v>
      </c>
      <c r="T51">
        <v>0.4992140371711497</v>
      </c>
      <c r="U51">
        <v>0.77036185658408141</v>
      </c>
      <c r="V51">
        <v>0.48917360285557721</v>
      </c>
      <c r="W51">
        <v>0.79250848673459262</v>
      </c>
      <c r="X51">
        <v>0.4992452963330053</v>
      </c>
      <c r="Y51">
        <v>1.1219028592467017</v>
      </c>
      <c r="Z51">
        <v>0.42551205342355453</v>
      </c>
      <c r="AA51">
        <v>0.74255788526910249</v>
      </c>
      <c r="AB51">
        <v>0.45264172158202109</v>
      </c>
      <c r="AC51">
        <v>0.80228964783293255</v>
      </c>
      <c r="AD51">
        <v>0.45469106816677368</v>
      </c>
    </row>
    <row r="52" spans="1:30" x14ac:dyDescent="0.2">
      <c r="A52" s="1" t="s">
        <v>20</v>
      </c>
      <c r="B52">
        <v>4</v>
      </c>
      <c r="C52">
        <v>1</v>
      </c>
      <c r="D52">
        <v>4170</v>
      </c>
      <c r="E52" s="7">
        <f t="shared" si="0"/>
        <v>137.00486662970491</v>
      </c>
      <c r="F52" s="7">
        <v>11.417072219142076</v>
      </c>
      <c r="G52">
        <v>312</v>
      </c>
      <c r="H52">
        <v>3858</v>
      </c>
      <c r="I52">
        <v>10.562845232961662</v>
      </c>
      <c r="J52">
        <v>2.4941545940184429</v>
      </c>
      <c r="K52">
        <v>0.78163635629281691</v>
      </c>
      <c r="L52">
        <v>0.47152432978763575</v>
      </c>
      <c r="M52">
        <v>0.73826726591527658</v>
      </c>
      <c r="N52">
        <v>0.66794091721724258</v>
      </c>
      <c r="O52">
        <v>0.80241353888655653</v>
      </c>
      <c r="P52">
        <v>0.57536146873904748</v>
      </c>
      <c r="Q52">
        <v>0.7195049296849455</v>
      </c>
      <c r="R52">
        <v>0.60053272894770615</v>
      </c>
      <c r="S52">
        <v>0.77662807340085271</v>
      </c>
      <c r="T52">
        <v>0.50565861089139319</v>
      </c>
      <c r="U52">
        <v>0.78924322170189787</v>
      </c>
      <c r="V52">
        <v>0.48233198357948492</v>
      </c>
      <c r="W52">
        <v>0.80377794899407318</v>
      </c>
      <c r="X52">
        <v>0.50039657367894219</v>
      </c>
      <c r="Y52">
        <v>1.1475977305304854</v>
      </c>
      <c r="Z52">
        <v>0.42751167806204327</v>
      </c>
      <c r="AA52">
        <v>0.7439868758862721</v>
      </c>
      <c r="AB52">
        <v>0.44247208845622177</v>
      </c>
      <c r="AC52">
        <v>0.79835666869215904</v>
      </c>
      <c r="AD52">
        <v>0.47515945071852111</v>
      </c>
    </row>
    <row r="53" spans="1:30" x14ac:dyDescent="0.2">
      <c r="A53" s="1" t="s">
        <v>21</v>
      </c>
      <c r="B53">
        <v>1</v>
      </c>
      <c r="C53">
        <v>1</v>
      </c>
      <c r="D53">
        <v>3603</v>
      </c>
      <c r="E53" s="7">
        <f t="shared" si="0"/>
        <v>118.37614735415511</v>
      </c>
      <c r="F53" s="7">
        <v>9.864678946179593</v>
      </c>
      <c r="G53">
        <v>55</v>
      </c>
      <c r="H53">
        <v>3548</v>
      </c>
      <c r="I53">
        <v>9.7140940607952242</v>
      </c>
      <c r="J53">
        <v>1.7403626894942439</v>
      </c>
      <c r="K53">
        <v>0.85221218224847861</v>
      </c>
      <c r="L53">
        <v>0.44929764526474097</v>
      </c>
      <c r="M53">
        <v>0.86002642588436784</v>
      </c>
      <c r="N53">
        <v>0.65260088920622605</v>
      </c>
      <c r="O53">
        <v>0.90414124978384325</v>
      </c>
      <c r="P53">
        <v>0.53163650536772</v>
      </c>
      <c r="Q53">
        <v>0.77262564815923074</v>
      </c>
      <c r="R53">
        <v>0.5727148308158948</v>
      </c>
      <c r="S53">
        <v>0.87703414769019372</v>
      </c>
      <c r="T53">
        <v>0.49638960362026063</v>
      </c>
      <c r="U53">
        <v>0.88822972197439276</v>
      </c>
      <c r="V53">
        <v>0.44355535161633125</v>
      </c>
      <c r="W53">
        <v>0.90346122606258528</v>
      </c>
      <c r="X53">
        <v>0.47315827580616132</v>
      </c>
      <c r="Y53">
        <v>1.169467907085497</v>
      </c>
      <c r="Z53">
        <v>0.46769464371994751</v>
      </c>
      <c r="AA53">
        <v>0.79819517296726217</v>
      </c>
      <c r="AB53">
        <v>0.42866745049826466</v>
      </c>
      <c r="AC53">
        <v>0.86983237167249872</v>
      </c>
      <c r="AD53">
        <v>0.44879061210976401</v>
      </c>
    </row>
    <row r="54" spans="1:30" x14ac:dyDescent="0.2">
      <c r="A54" s="1" t="s">
        <v>22</v>
      </c>
      <c r="B54">
        <v>1</v>
      </c>
      <c r="C54">
        <v>1</v>
      </c>
      <c r="D54">
        <v>7495</v>
      </c>
      <c r="E54" s="7">
        <f t="shared" si="0"/>
        <v>246.24735620854636</v>
      </c>
      <c r="F54" s="7">
        <v>20.520613017378864</v>
      </c>
      <c r="G54">
        <v>-5</v>
      </c>
      <c r="H54">
        <v>7500</v>
      </c>
      <c r="I54">
        <v>20.534302552413806</v>
      </c>
      <c r="J54">
        <v>0</v>
      </c>
      <c r="K54">
        <v>0.78112111850415178</v>
      </c>
      <c r="L54">
        <v>0.46801833979472268</v>
      </c>
      <c r="M54">
        <v>0.74292623100844868</v>
      </c>
      <c r="N54">
        <v>0.69175126638737527</v>
      </c>
      <c r="O54">
        <v>0.81956844779714155</v>
      </c>
      <c r="P54">
        <v>0.58917708554350745</v>
      </c>
      <c r="Q54">
        <v>0.73462429852834199</v>
      </c>
      <c r="R54">
        <v>0.56255856648679281</v>
      </c>
      <c r="S54">
        <v>0.81948515801249022</v>
      </c>
      <c r="T54">
        <v>0.50629335309860157</v>
      </c>
      <c r="U54">
        <v>0.80099571502547684</v>
      </c>
      <c r="V54">
        <v>0.4736805932061432</v>
      </c>
      <c r="W54">
        <v>0.84072210047311668</v>
      </c>
      <c r="X54">
        <v>0.51488032815411733</v>
      </c>
      <c r="Y54">
        <v>1.147164396077299</v>
      </c>
      <c r="Z54">
        <v>0.41259249809122506</v>
      </c>
      <c r="AA54">
        <v>0.75376049904891873</v>
      </c>
      <c r="AB54">
        <v>0.44591138577209605</v>
      </c>
      <c r="AC54">
        <v>0.81256514693755233</v>
      </c>
      <c r="AD54">
        <v>0.44841331123848349</v>
      </c>
    </row>
    <row r="55" spans="1:30" x14ac:dyDescent="0.2">
      <c r="A55" s="1" t="s">
        <v>22</v>
      </c>
      <c r="B55">
        <v>2</v>
      </c>
      <c r="C55">
        <v>1</v>
      </c>
      <c r="D55">
        <v>7516</v>
      </c>
      <c r="E55" s="7">
        <f t="shared" si="0"/>
        <v>246.9373087743075</v>
      </c>
      <c r="F55" s="7">
        <v>20.578109064525623</v>
      </c>
      <c r="G55">
        <v>16</v>
      </c>
      <c r="H55">
        <v>7500</v>
      </c>
      <c r="I55">
        <v>20.534302552413806</v>
      </c>
      <c r="J55">
        <v>1.2041199826559248</v>
      </c>
      <c r="K55">
        <v>0.74883227682494313</v>
      </c>
      <c r="L55">
        <v>0.48756369931606908</v>
      </c>
      <c r="M55">
        <v>0.81990738178151368</v>
      </c>
      <c r="N55">
        <v>0.69028164249555202</v>
      </c>
      <c r="O55">
        <v>0.80187669240287851</v>
      </c>
      <c r="P55">
        <v>0.58634537944581056</v>
      </c>
      <c r="Q55">
        <v>0.71001075207274367</v>
      </c>
      <c r="R55">
        <v>0.59201095050977415</v>
      </c>
      <c r="S55">
        <v>0.78745792813914561</v>
      </c>
      <c r="T55">
        <v>0.51853523580966976</v>
      </c>
      <c r="U55">
        <v>0.80430725580277473</v>
      </c>
      <c r="V55">
        <v>0.46460202251784688</v>
      </c>
      <c r="W55">
        <v>0.82895153722579062</v>
      </c>
      <c r="X55">
        <v>0.51480204391329176</v>
      </c>
      <c r="Y55">
        <v>1.1896261823968577</v>
      </c>
      <c r="Z55">
        <v>0.43348131414138302</v>
      </c>
      <c r="AA55">
        <v>0.72975030983876887</v>
      </c>
      <c r="AB55">
        <v>0.46547765415977754</v>
      </c>
      <c r="AC55">
        <v>0.80182004897732839</v>
      </c>
      <c r="AD55">
        <v>0.44500521403277443</v>
      </c>
    </row>
    <row r="56" spans="1:30" x14ac:dyDescent="0.2">
      <c r="A56" s="1" t="s">
        <v>22</v>
      </c>
      <c r="B56">
        <v>3</v>
      </c>
      <c r="C56">
        <v>1</v>
      </c>
      <c r="D56">
        <v>7565</v>
      </c>
      <c r="E56" s="7">
        <f t="shared" si="0"/>
        <v>248.5471980944167</v>
      </c>
      <c r="F56" s="7">
        <v>20.712266507868058</v>
      </c>
      <c r="G56">
        <v>65</v>
      </c>
      <c r="H56">
        <v>7500</v>
      </c>
      <c r="I56">
        <v>20.534302552413806</v>
      </c>
      <c r="J56">
        <v>1.8129133566428555</v>
      </c>
      <c r="K56">
        <v>0.75921729205062694</v>
      </c>
      <c r="L56">
        <v>0.49558137729748186</v>
      </c>
      <c r="M56">
        <v>0.74624265464459683</v>
      </c>
      <c r="N56">
        <v>0.71215364304394524</v>
      </c>
      <c r="O56">
        <v>0.79809753132509798</v>
      </c>
      <c r="P56">
        <v>0.57828848385964071</v>
      </c>
      <c r="Q56">
        <v>0.72044485430712535</v>
      </c>
      <c r="R56">
        <v>0.57886320667735136</v>
      </c>
      <c r="S56">
        <v>0.8185506199913164</v>
      </c>
      <c r="T56">
        <v>0.50229859759949458</v>
      </c>
      <c r="U56">
        <v>0.79961308060858616</v>
      </c>
      <c r="V56">
        <v>0.47188391423364473</v>
      </c>
      <c r="W56">
        <v>0.81700833569896913</v>
      </c>
      <c r="X56">
        <v>0.52267366929168146</v>
      </c>
      <c r="Y56">
        <v>1.1452404297976548</v>
      </c>
      <c r="Z56">
        <v>0.44251132004481264</v>
      </c>
      <c r="AA56">
        <v>0.73561084631120255</v>
      </c>
      <c r="AB56">
        <v>0.45570042710338915</v>
      </c>
      <c r="AC56">
        <v>0.80904496892500966</v>
      </c>
      <c r="AD56">
        <v>0.45097284941054133</v>
      </c>
    </row>
    <row r="57" spans="1:30" x14ac:dyDescent="0.2">
      <c r="A57" s="1" t="s">
        <v>22</v>
      </c>
      <c r="B57">
        <v>4</v>
      </c>
      <c r="C57">
        <v>1</v>
      </c>
      <c r="D57">
        <v>7656</v>
      </c>
      <c r="E57" s="7">
        <f t="shared" si="0"/>
        <v>251.53699254604817</v>
      </c>
      <c r="F57" s="7">
        <v>20.961416045504013</v>
      </c>
      <c r="G57">
        <v>156</v>
      </c>
      <c r="H57">
        <v>7500</v>
      </c>
      <c r="I57">
        <v>20.534302552413806</v>
      </c>
      <c r="J57">
        <v>2.1931245983544616</v>
      </c>
      <c r="K57">
        <v>0.76556535094448552</v>
      </c>
      <c r="L57">
        <v>0.49384260783744194</v>
      </c>
      <c r="M57">
        <v>0.73484476502599982</v>
      </c>
      <c r="N57">
        <v>0.70774459510804666</v>
      </c>
      <c r="O57">
        <v>0.80084912987044654</v>
      </c>
      <c r="P57">
        <v>0.59064394708941159</v>
      </c>
      <c r="Q57">
        <v>0.71390795785294614</v>
      </c>
      <c r="R57">
        <v>0.5820357422197836</v>
      </c>
      <c r="S57">
        <v>0.78715048220126782</v>
      </c>
      <c r="T57">
        <v>0.52462444694149779</v>
      </c>
      <c r="U57">
        <v>0.80778102367888227</v>
      </c>
      <c r="V57">
        <v>0.48891558904230986</v>
      </c>
      <c r="W57">
        <v>0.80691059987695157</v>
      </c>
      <c r="X57">
        <v>0.53821678545225038</v>
      </c>
      <c r="Y57">
        <v>1.1646837123068146</v>
      </c>
      <c r="Z57">
        <v>0.46771718009990682</v>
      </c>
      <c r="AA57">
        <v>0.73166384673388718</v>
      </c>
      <c r="AB57">
        <v>0.46833059896726592</v>
      </c>
      <c r="AC57">
        <v>0.79692580236414579</v>
      </c>
      <c r="AD57">
        <v>0.45265420236818998</v>
      </c>
    </row>
    <row r="58" spans="1:30" x14ac:dyDescent="0.2">
      <c r="A58" s="1" t="s">
        <v>22</v>
      </c>
      <c r="B58">
        <v>5</v>
      </c>
      <c r="C58">
        <v>1</v>
      </c>
      <c r="D58">
        <v>7821</v>
      </c>
      <c r="E58" s="7">
        <f t="shared" si="0"/>
        <v>256.95804841988542</v>
      </c>
      <c r="F58" s="7">
        <v>21.413170701657119</v>
      </c>
      <c r="G58">
        <v>321</v>
      </c>
      <c r="H58">
        <v>7500</v>
      </c>
      <c r="I58">
        <v>20.534302552413806</v>
      </c>
      <c r="J58">
        <v>2.5065050324048719</v>
      </c>
      <c r="K58">
        <v>0.75865022798077564</v>
      </c>
      <c r="L58">
        <v>0.49716814604235121</v>
      </c>
      <c r="M58">
        <v>0.75344396123871182</v>
      </c>
      <c r="N58">
        <v>0.70499701758280253</v>
      </c>
      <c r="O58">
        <v>0.79188373969693782</v>
      </c>
      <c r="P58">
        <v>0.60109512254045738</v>
      </c>
      <c r="Q58">
        <v>0.71424429918406851</v>
      </c>
      <c r="R58">
        <v>0.59350408700120671</v>
      </c>
      <c r="S58">
        <v>0.78572160662998147</v>
      </c>
      <c r="T58">
        <v>0.51567270214269878</v>
      </c>
      <c r="U58">
        <v>0.78670449369039464</v>
      </c>
      <c r="V58">
        <v>0.48540776269897279</v>
      </c>
      <c r="W58">
        <v>0.81414618611309797</v>
      </c>
      <c r="X58">
        <v>0.52320495777291742</v>
      </c>
      <c r="Y58">
        <v>1.1573635182253985</v>
      </c>
      <c r="Z58">
        <v>0.44484694990370865</v>
      </c>
      <c r="AA58">
        <v>0.73365648845353737</v>
      </c>
      <c r="AB58">
        <v>0.46383666508178356</v>
      </c>
      <c r="AC58">
        <v>0.80300640027299475</v>
      </c>
      <c r="AD58">
        <v>0.44830118233215377</v>
      </c>
    </row>
    <row r="59" spans="1:30" x14ac:dyDescent="0.2">
      <c r="A59" s="1" t="s">
        <v>23</v>
      </c>
      <c r="B59">
        <v>1</v>
      </c>
      <c r="C59">
        <v>1</v>
      </c>
      <c r="D59">
        <v>4775</v>
      </c>
      <c r="E59" s="7">
        <f t="shared" si="0"/>
        <v>156.8820715004415</v>
      </c>
      <c r="F59" s="7">
        <v>13.073505958370124</v>
      </c>
      <c r="G59">
        <v>13</v>
      </c>
      <c r="H59">
        <v>4762</v>
      </c>
      <c r="I59">
        <v>13.037913167279273</v>
      </c>
      <c r="J59">
        <v>1.1139433523068367</v>
      </c>
      <c r="K59">
        <v>0.76932135997599127</v>
      </c>
      <c r="L59">
        <v>0.49869146357100352</v>
      </c>
      <c r="M59">
        <v>0.87106330392746367</v>
      </c>
      <c r="N59">
        <v>0.64029480894374902</v>
      </c>
      <c r="O59">
        <v>0.8201668129555062</v>
      </c>
      <c r="P59">
        <v>0.57052568104750645</v>
      </c>
      <c r="Q59">
        <v>0.71879154406368639</v>
      </c>
      <c r="R59">
        <v>0.6297643929915604</v>
      </c>
      <c r="S59">
        <v>0.78616155698623813</v>
      </c>
      <c r="T59">
        <v>0.48719595282546158</v>
      </c>
      <c r="U59">
        <v>0.83745042549336868</v>
      </c>
      <c r="V59">
        <v>0.43603029794592246</v>
      </c>
      <c r="W59">
        <v>0.84536520632132461</v>
      </c>
      <c r="X59">
        <v>0.48827656732783203</v>
      </c>
      <c r="Y59">
        <v>1.1954617217762817</v>
      </c>
      <c r="Z59">
        <v>0.45862715948291044</v>
      </c>
      <c r="AA59">
        <v>0.77567131070893569</v>
      </c>
      <c r="AB59">
        <v>0.4691000251110708</v>
      </c>
      <c r="AC59">
        <v>0.7905617495125814</v>
      </c>
      <c r="AD59">
        <v>0.46958421156709995</v>
      </c>
    </row>
    <row r="60" spans="1:30" x14ac:dyDescent="0.2">
      <c r="A60" s="1" t="s">
        <v>23</v>
      </c>
      <c r="B60">
        <v>2</v>
      </c>
      <c r="C60">
        <v>1</v>
      </c>
      <c r="D60">
        <v>4791</v>
      </c>
      <c r="E60" s="7">
        <f t="shared" si="0"/>
        <v>157.40774964578327</v>
      </c>
      <c r="F60" s="7">
        <v>13.11731247048194</v>
      </c>
      <c r="G60">
        <v>29</v>
      </c>
      <c r="H60">
        <v>4762</v>
      </c>
      <c r="I60">
        <v>13.037913167279273</v>
      </c>
      <c r="J60">
        <v>1.4623979978989561</v>
      </c>
      <c r="K60">
        <v>0.78630868930354436</v>
      </c>
      <c r="L60">
        <v>0.47371525258991742</v>
      </c>
      <c r="M60">
        <v>0.85310784323032274</v>
      </c>
      <c r="N60">
        <v>0.65345511012037327</v>
      </c>
      <c r="O60">
        <v>0.78809035919108983</v>
      </c>
      <c r="P60">
        <v>0.57934562966890568</v>
      </c>
      <c r="Q60">
        <v>0.73585521982743551</v>
      </c>
      <c r="R60">
        <v>0.59990231731445465</v>
      </c>
      <c r="S60">
        <v>0.79501779290623542</v>
      </c>
      <c r="T60">
        <v>0.47866525492318079</v>
      </c>
      <c r="U60">
        <v>0.83281498984859503</v>
      </c>
      <c r="V60">
        <v>0.42106031952467021</v>
      </c>
      <c r="W60">
        <v>0.82283785721612213</v>
      </c>
      <c r="X60">
        <v>0.50039502568596106</v>
      </c>
      <c r="Y60">
        <v>1.1801336829691396</v>
      </c>
      <c r="Z60">
        <v>0.41753524907333439</v>
      </c>
      <c r="AA60">
        <v>0.76395783644468329</v>
      </c>
      <c r="AB60">
        <v>0.47003826295736023</v>
      </c>
      <c r="AC60">
        <v>0.79315220002084696</v>
      </c>
      <c r="AD60">
        <v>0.45413411021596967</v>
      </c>
    </row>
    <row r="61" spans="1:30" x14ac:dyDescent="0.2">
      <c r="A61" t="s">
        <v>45</v>
      </c>
      <c r="B61">
        <v>1</v>
      </c>
      <c r="C61">
        <v>0</v>
      </c>
      <c r="D61">
        <f>F61*365.2425</f>
        <v>5843.88</v>
      </c>
      <c r="E61" s="7">
        <v>192</v>
      </c>
      <c r="F61" s="7">
        <f>E61/12</f>
        <v>16</v>
      </c>
      <c r="J61" s="7"/>
      <c r="K61">
        <v>0.46340882900573616</v>
      </c>
      <c r="L61">
        <v>0.52209882452796574</v>
      </c>
      <c r="M61">
        <v>0.44253910669823443</v>
      </c>
      <c r="N61">
        <v>0.69676579663114224</v>
      </c>
      <c r="O61">
        <v>0.42980010944108604</v>
      </c>
      <c r="P61">
        <v>0.55301162553128003</v>
      </c>
      <c r="Q61">
        <v>0.40457464451459613</v>
      </c>
      <c r="R61">
        <v>0.58718809934684679</v>
      </c>
      <c r="S61">
        <v>0.46330475939942212</v>
      </c>
      <c r="T61">
        <v>0.5342640986330649</v>
      </c>
      <c r="U61">
        <v>0.46430492052138489</v>
      </c>
      <c r="V61">
        <v>0.48359068218872292</v>
      </c>
      <c r="W61">
        <v>0.46588226601032784</v>
      </c>
      <c r="X61">
        <v>0.55163026438060148</v>
      </c>
      <c r="Y61">
        <v>0.46994279608627665</v>
      </c>
      <c r="Z61">
        <v>0.43278717024497382</v>
      </c>
      <c r="AA61">
        <v>0.42919862856633839</v>
      </c>
      <c r="AB61">
        <v>0.53364352105305224</v>
      </c>
      <c r="AC61">
        <v>0.48538891476724944</v>
      </c>
      <c r="AD61">
        <v>0.44529612333034019</v>
      </c>
    </row>
    <row r="62" spans="1:30" x14ac:dyDescent="0.2">
      <c r="A62" t="s">
        <v>102</v>
      </c>
      <c r="B62">
        <v>1</v>
      </c>
      <c r="C62">
        <v>0</v>
      </c>
      <c r="D62">
        <f t="shared" ref="D62:D125" si="1">F62*365.2425</f>
        <v>4474.2206249999999</v>
      </c>
      <c r="E62" s="7">
        <f>F62*12</f>
        <v>147</v>
      </c>
      <c r="F62" s="7">
        <v>12.25</v>
      </c>
      <c r="J62" s="7"/>
      <c r="K62">
        <v>0.45206541680283785</v>
      </c>
      <c r="L62">
        <v>0.52928775881895995</v>
      </c>
      <c r="M62">
        <v>0.46881053234352532</v>
      </c>
      <c r="N62">
        <v>0.73907058400697556</v>
      </c>
      <c r="O62">
        <v>0.4622908770297432</v>
      </c>
      <c r="P62">
        <v>0.57101744920894792</v>
      </c>
      <c r="Q62">
        <v>0.41357852205409651</v>
      </c>
      <c r="R62">
        <v>0.59983468132520856</v>
      </c>
      <c r="S62">
        <v>0.49324155775251927</v>
      </c>
      <c r="T62">
        <v>0.53166323138719984</v>
      </c>
      <c r="U62">
        <v>0.48893444144438669</v>
      </c>
      <c r="V62">
        <v>0.51175611283701361</v>
      </c>
      <c r="W62">
        <v>0.49410915453429582</v>
      </c>
      <c r="X62">
        <v>0.5794624522013555</v>
      </c>
      <c r="Y62">
        <v>0.479062513914153</v>
      </c>
      <c r="Z62">
        <v>0.53306847956195358</v>
      </c>
      <c r="AA62">
        <v>0.44848255750930033</v>
      </c>
      <c r="AB62">
        <v>0.53896031342098194</v>
      </c>
      <c r="AC62">
        <v>0.49806760070741507</v>
      </c>
      <c r="AD62">
        <v>0.48933143786147665</v>
      </c>
    </row>
    <row r="63" spans="1:30" x14ac:dyDescent="0.2">
      <c r="A63" t="s">
        <v>46</v>
      </c>
      <c r="B63">
        <v>1</v>
      </c>
      <c r="C63">
        <v>0</v>
      </c>
      <c r="D63">
        <f t="shared" si="1"/>
        <v>5478.6374999999998</v>
      </c>
      <c r="E63" s="7">
        <v>180</v>
      </c>
      <c r="F63" s="7">
        <v>15</v>
      </c>
      <c r="J63" s="7"/>
      <c r="K63">
        <v>0.4504024099279092</v>
      </c>
      <c r="L63">
        <v>0.48248668348175816</v>
      </c>
      <c r="M63">
        <v>0.40610222195703338</v>
      </c>
      <c r="N63">
        <v>0.76870112322413198</v>
      </c>
      <c r="O63">
        <v>0.40526040612880099</v>
      </c>
      <c r="P63">
        <v>0.61064028740735155</v>
      </c>
      <c r="Q63">
        <v>0.39065832104772247</v>
      </c>
      <c r="R63">
        <v>0.6367150921008855</v>
      </c>
      <c r="S63">
        <v>0.44088239211441566</v>
      </c>
      <c r="T63">
        <v>0.56530331845948445</v>
      </c>
      <c r="U63">
        <v>0.4410921595158257</v>
      </c>
      <c r="V63">
        <v>0.53942800231947252</v>
      </c>
      <c r="W63">
        <v>0.4202700337387516</v>
      </c>
      <c r="X63">
        <v>0.60983540013773818</v>
      </c>
      <c r="Y63">
        <v>0.4500475132910739</v>
      </c>
      <c r="Z63">
        <v>0.54858183446925246</v>
      </c>
      <c r="AA63">
        <v>0.41340702829567944</v>
      </c>
      <c r="AB63">
        <v>0.53247103005627638</v>
      </c>
      <c r="AC63">
        <v>0.46725976940377134</v>
      </c>
      <c r="AD63">
        <v>0.47499572273293333</v>
      </c>
    </row>
    <row r="64" spans="1:30" x14ac:dyDescent="0.2">
      <c r="A64" t="s">
        <v>103</v>
      </c>
      <c r="B64">
        <v>1</v>
      </c>
      <c r="C64">
        <v>0</v>
      </c>
      <c r="D64">
        <f t="shared" si="1"/>
        <v>4991.6475000000119</v>
      </c>
      <c r="E64" s="7">
        <f>F64*12</f>
        <v>164.0000000000004</v>
      </c>
      <c r="F64" s="7">
        <v>13.6666666666667</v>
      </c>
      <c r="J64" s="7"/>
      <c r="K64">
        <v>0.41779770562058066</v>
      </c>
      <c r="L64">
        <v>0.59571345962183286</v>
      </c>
      <c r="M64">
        <v>0.4253987986671115</v>
      </c>
      <c r="N64">
        <v>0.76704273997464101</v>
      </c>
      <c r="O64">
        <v>0.40857965580298983</v>
      </c>
      <c r="P64">
        <v>0.62369943026408015</v>
      </c>
      <c r="Q64">
        <v>0.39526744097551275</v>
      </c>
      <c r="R64">
        <v>0.63266984481603306</v>
      </c>
      <c r="S64">
        <v>0.4427388347535719</v>
      </c>
      <c r="T64">
        <v>0.56322370377002895</v>
      </c>
      <c r="U64">
        <v>0.44656751803782424</v>
      </c>
      <c r="V64">
        <v>0.52252941041000101</v>
      </c>
      <c r="W64">
        <v>0.44318086762692277</v>
      </c>
      <c r="X64">
        <v>0.59364483779378008</v>
      </c>
      <c r="Y64">
        <v>0.44927368109467147</v>
      </c>
      <c r="Z64">
        <v>0.55628380081693318</v>
      </c>
      <c r="AA64">
        <v>0.40129210888580114</v>
      </c>
      <c r="AB64">
        <v>0.57704820508844878</v>
      </c>
      <c r="AC64">
        <v>0.45974169607309179</v>
      </c>
      <c r="AD64">
        <v>0.51324801944984977</v>
      </c>
    </row>
    <row r="65" spans="1:30" x14ac:dyDescent="0.2">
      <c r="A65" t="s">
        <v>47</v>
      </c>
      <c r="B65">
        <v>1</v>
      </c>
      <c r="C65">
        <v>0</v>
      </c>
      <c r="D65">
        <f t="shared" si="1"/>
        <v>5113.3950000000004</v>
      </c>
      <c r="E65" s="7">
        <v>168</v>
      </c>
      <c r="F65" s="7">
        <v>14</v>
      </c>
      <c r="J65" s="7"/>
      <c r="K65">
        <v>0.42632444274181269</v>
      </c>
      <c r="L65">
        <v>0.57031594749629544</v>
      </c>
      <c r="M65">
        <v>0.41111932414477226</v>
      </c>
      <c r="N65">
        <v>0.74841877275617807</v>
      </c>
      <c r="O65">
        <v>0.40479562829170057</v>
      </c>
      <c r="P65">
        <v>0.62316058945180364</v>
      </c>
      <c r="Q65">
        <v>0.3924308658547298</v>
      </c>
      <c r="R65">
        <v>0.61011244666913622</v>
      </c>
      <c r="S65">
        <v>0.43850277483141459</v>
      </c>
      <c r="T65">
        <v>0.58600034967455117</v>
      </c>
      <c r="U65">
        <v>0.43825756560173745</v>
      </c>
      <c r="V65">
        <v>0.50729587325411829</v>
      </c>
      <c r="W65">
        <v>0.42763701258019832</v>
      </c>
      <c r="X65">
        <v>0.63677421630037245</v>
      </c>
      <c r="Y65">
        <v>0.44752761692480181</v>
      </c>
      <c r="Z65">
        <v>0.55925096405640295</v>
      </c>
      <c r="AA65">
        <v>0.39963018475662371</v>
      </c>
      <c r="AB65">
        <v>0.51836519411221738</v>
      </c>
      <c r="AC65">
        <v>0.46438078759316231</v>
      </c>
      <c r="AD65">
        <v>0.45920368788195187</v>
      </c>
    </row>
    <row r="66" spans="1:30" x14ac:dyDescent="0.2">
      <c r="A66" t="s">
        <v>48</v>
      </c>
      <c r="B66">
        <v>1</v>
      </c>
      <c r="C66">
        <v>0</v>
      </c>
      <c r="D66">
        <f t="shared" si="1"/>
        <v>4748.1525000000001</v>
      </c>
      <c r="E66" s="7">
        <v>156</v>
      </c>
      <c r="F66" s="7">
        <v>13</v>
      </c>
      <c r="J66" s="7"/>
      <c r="K66">
        <v>0.43883025418306099</v>
      </c>
      <c r="L66">
        <v>0.51694783150826651</v>
      </c>
      <c r="M66">
        <v>0.41649185633497804</v>
      </c>
      <c r="N66">
        <v>0.78566849179657872</v>
      </c>
      <c r="O66">
        <v>0.4002885056287287</v>
      </c>
      <c r="P66">
        <v>0.5781452689556269</v>
      </c>
      <c r="Q66">
        <v>0.3983194893358496</v>
      </c>
      <c r="R66">
        <v>0.59770966185985075</v>
      </c>
      <c r="S66">
        <v>0.44415987112885985</v>
      </c>
      <c r="T66">
        <v>0.56763327967999588</v>
      </c>
      <c r="U66">
        <v>0.45208320110897782</v>
      </c>
      <c r="V66">
        <v>0.50968576917112485</v>
      </c>
      <c r="W66">
        <v>0.45062149867856205</v>
      </c>
      <c r="X66">
        <v>0.59645551892815751</v>
      </c>
      <c r="Y66">
        <v>0.44661196812256287</v>
      </c>
      <c r="Z66">
        <v>0.55235061456920076</v>
      </c>
      <c r="AA66">
        <v>0.41409903322589348</v>
      </c>
      <c r="AB66">
        <v>0.50174861319254538</v>
      </c>
      <c r="AC66">
        <v>0.45600749495164028</v>
      </c>
      <c r="AD66">
        <v>0.47795891583013389</v>
      </c>
    </row>
    <row r="67" spans="1:30" x14ac:dyDescent="0.2">
      <c r="A67" t="s">
        <v>104</v>
      </c>
      <c r="B67">
        <v>1</v>
      </c>
      <c r="C67">
        <v>0</v>
      </c>
      <c r="D67">
        <f t="shared" si="1"/>
        <v>4169.8518750000121</v>
      </c>
      <c r="E67" s="7">
        <f>F67*12</f>
        <v>137.0000000000004</v>
      </c>
      <c r="F67" s="7">
        <v>11.4166666666667</v>
      </c>
      <c r="J67" s="7"/>
      <c r="K67">
        <v>0.46317051586501468</v>
      </c>
      <c r="L67">
        <v>0.47280135928619815</v>
      </c>
      <c r="M67">
        <v>0.42915757791918702</v>
      </c>
      <c r="N67">
        <v>0.73407804208678129</v>
      </c>
      <c r="O67">
        <v>0.42799831286243284</v>
      </c>
      <c r="P67">
        <v>0.5817668377892532</v>
      </c>
      <c r="Q67">
        <v>0.39866434537036988</v>
      </c>
      <c r="R67">
        <v>0.65201874570414786</v>
      </c>
      <c r="S67">
        <v>0.47041895613677082</v>
      </c>
      <c r="T67">
        <v>0.52731661671255992</v>
      </c>
      <c r="U67">
        <v>0.48815425143437946</v>
      </c>
      <c r="V67">
        <v>0.47137595963665835</v>
      </c>
      <c r="W67">
        <v>0.46934529691601873</v>
      </c>
      <c r="X67">
        <v>0.5554043558071784</v>
      </c>
      <c r="Y67">
        <v>0.45382438887990428</v>
      </c>
      <c r="Z67">
        <v>0.47633128862390539</v>
      </c>
      <c r="AA67">
        <v>0.44086313583367709</v>
      </c>
      <c r="AB67">
        <v>0.48515681023950413</v>
      </c>
      <c r="AC67">
        <v>0.48680764182094344</v>
      </c>
      <c r="AD67">
        <v>0.46455829899964562</v>
      </c>
    </row>
    <row r="68" spans="1:30" x14ac:dyDescent="0.2">
      <c r="A68" t="s">
        <v>49</v>
      </c>
      <c r="B68">
        <v>1</v>
      </c>
      <c r="C68">
        <v>0</v>
      </c>
      <c r="D68">
        <f t="shared" si="1"/>
        <v>3287.1824999999999</v>
      </c>
      <c r="E68" s="7">
        <v>108</v>
      </c>
      <c r="F68" s="7">
        <v>9</v>
      </c>
      <c r="J68" s="7"/>
      <c r="K68">
        <v>0.4786178069356043</v>
      </c>
      <c r="L68">
        <v>0.46181735613598363</v>
      </c>
      <c r="M68">
        <v>0.44831519923272739</v>
      </c>
      <c r="N68">
        <v>0.6758091608276926</v>
      </c>
      <c r="O68">
        <v>0.43002415457726634</v>
      </c>
      <c r="P68">
        <v>0.56341310689661739</v>
      </c>
      <c r="Q68">
        <v>0.42037785231026409</v>
      </c>
      <c r="R68">
        <v>0.60754577490688177</v>
      </c>
      <c r="S68">
        <v>0.47228837804169155</v>
      </c>
      <c r="T68">
        <v>0.54010515179675012</v>
      </c>
      <c r="U68">
        <v>0.47917447877535047</v>
      </c>
      <c r="V68">
        <v>0.51270603638675227</v>
      </c>
      <c r="W68">
        <v>0.47524308157322082</v>
      </c>
      <c r="X68">
        <v>0.56460664623371581</v>
      </c>
      <c r="Y68">
        <v>0.46971601821335679</v>
      </c>
      <c r="Z68">
        <v>0.51080392522466223</v>
      </c>
      <c r="AA68">
        <v>0.45513505106204855</v>
      </c>
      <c r="AB68">
        <v>0.5034183579507131</v>
      </c>
      <c r="AC68">
        <v>0.49410097684332016</v>
      </c>
      <c r="AD68">
        <v>0.45938414641859948</v>
      </c>
    </row>
    <row r="69" spans="1:30" x14ac:dyDescent="0.2">
      <c r="A69" t="s">
        <v>105</v>
      </c>
      <c r="B69">
        <v>1</v>
      </c>
      <c r="C69">
        <v>0</v>
      </c>
      <c r="D69">
        <f t="shared" si="1"/>
        <v>3165.4349999999999</v>
      </c>
      <c r="E69" s="7">
        <f>F69*12</f>
        <v>104</v>
      </c>
      <c r="F69" s="7">
        <f>104/12</f>
        <v>8.6666666666666661</v>
      </c>
      <c r="J69" s="7"/>
      <c r="K69">
        <v>0.48135496468306477</v>
      </c>
      <c r="L69">
        <v>0.49214096827897447</v>
      </c>
      <c r="M69">
        <v>0.45981175658029683</v>
      </c>
      <c r="N69">
        <v>0.70731903834527143</v>
      </c>
      <c r="O69">
        <v>0.45137275136470922</v>
      </c>
      <c r="P69">
        <v>0.58110178074061913</v>
      </c>
      <c r="Q69">
        <v>0.4267844215356581</v>
      </c>
      <c r="R69">
        <v>0.56910358909101388</v>
      </c>
      <c r="S69">
        <v>0.48283761591419927</v>
      </c>
      <c r="T69">
        <v>0.53018060514380072</v>
      </c>
      <c r="U69">
        <v>0.48777551975842559</v>
      </c>
      <c r="V69">
        <v>0.48382770178091983</v>
      </c>
      <c r="W69">
        <v>0.48322778723887783</v>
      </c>
      <c r="X69">
        <v>0.53068042733834553</v>
      </c>
      <c r="Y69">
        <v>0.48036991814030472</v>
      </c>
      <c r="Z69">
        <v>0.5323527848730365</v>
      </c>
      <c r="AA69">
        <v>0.44117793218119583</v>
      </c>
      <c r="AB69">
        <v>0.5307395533978928</v>
      </c>
      <c r="AC69">
        <v>0.49137009421925343</v>
      </c>
      <c r="AD69">
        <v>0.47881429834587835</v>
      </c>
    </row>
    <row r="70" spans="1:30" x14ac:dyDescent="0.2">
      <c r="A70" t="s">
        <v>50</v>
      </c>
      <c r="B70">
        <v>1</v>
      </c>
      <c r="C70">
        <v>0</v>
      </c>
      <c r="D70">
        <f t="shared" si="1"/>
        <v>5843.88</v>
      </c>
      <c r="E70" s="7">
        <v>192</v>
      </c>
      <c r="F70" s="7">
        <v>16</v>
      </c>
      <c r="J70" s="7"/>
      <c r="K70">
        <v>0.40176360163694802</v>
      </c>
      <c r="L70">
        <v>0.5643000197532827</v>
      </c>
      <c r="M70">
        <v>0.41358877922474768</v>
      </c>
      <c r="N70">
        <v>0.78931487894021779</v>
      </c>
      <c r="O70">
        <v>0.38501175387645648</v>
      </c>
      <c r="P70">
        <v>0.62298988115774634</v>
      </c>
      <c r="Q70">
        <v>0.38451320424448077</v>
      </c>
      <c r="R70">
        <v>0.61245781938026522</v>
      </c>
      <c r="S70">
        <v>0.42644011210392685</v>
      </c>
      <c r="T70">
        <v>0.57753321271897717</v>
      </c>
      <c r="U70">
        <v>0.42254222809124087</v>
      </c>
      <c r="V70">
        <v>0.56927330893791184</v>
      </c>
      <c r="W70">
        <v>0.43418986179630137</v>
      </c>
      <c r="X70">
        <v>0.6214504145895543</v>
      </c>
      <c r="Y70">
        <v>0.40854117987895078</v>
      </c>
      <c r="Z70">
        <v>0.45944957224027683</v>
      </c>
      <c r="AA70">
        <v>0.40074971705291845</v>
      </c>
      <c r="AB70">
        <v>0.5300468797072736</v>
      </c>
      <c r="AC70">
        <v>0.44356400520708472</v>
      </c>
      <c r="AD70">
        <v>0.46869309257343766</v>
      </c>
    </row>
    <row r="71" spans="1:30" x14ac:dyDescent="0.2">
      <c r="A71" t="s">
        <v>51</v>
      </c>
      <c r="B71">
        <v>1</v>
      </c>
      <c r="C71">
        <v>0</v>
      </c>
      <c r="D71">
        <f t="shared" si="1"/>
        <v>3652.4250000000002</v>
      </c>
      <c r="E71" s="7">
        <v>120</v>
      </c>
      <c r="F71" s="7">
        <v>10</v>
      </c>
      <c r="J71" s="7"/>
      <c r="K71">
        <v>0.45109975717525652</v>
      </c>
      <c r="L71">
        <v>0.50473065594277333</v>
      </c>
      <c r="M71">
        <v>0.44516008536724871</v>
      </c>
      <c r="N71">
        <v>0.72502902484286325</v>
      </c>
      <c r="O71">
        <v>0.41343150915966315</v>
      </c>
      <c r="P71">
        <v>0.57265915455424132</v>
      </c>
      <c r="Q71">
        <v>0.4129853057250622</v>
      </c>
      <c r="R71">
        <v>0.59094597956704786</v>
      </c>
      <c r="S71">
        <v>0.47827382155684789</v>
      </c>
      <c r="T71">
        <v>0.5225513692068624</v>
      </c>
      <c r="U71">
        <v>0.48341487803969707</v>
      </c>
      <c r="V71">
        <v>0.51938390402934231</v>
      </c>
      <c r="W71">
        <v>0.48159683256288277</v>
      </c>
      <c r="X71">
        <v>0.55925556448634128</v>
      </c>
      <c r="Y71">
        <v>0.45562728105557737</v>
      </c>
      <c r="Z71">
        <v>0.4982391353987774</v>
      </c>
      <c r="AA71">
        <v>0.44014019390366699</v>
      </c>
      <c r="AB71">
        <v>0.50315216732333801</v>
      </c>
      <c r="AC71">
        <v>0.49913835367217552</v>
      </c>
      <c r="AD71">
        <v>0.43955387557381798</v>
      </c>
    </row>
    <row r="72" spans="1:30" x14ac:dyDescent="0.2">
      <c r="A72" s="2" t="s">
        <v>106</v>
      </c>
      <c r="B72">
        <v>1</v>
      </c>
      <c r="C72">
        <v>0</v>
      </c>
      <c r="D72">
        <f t="shared" si="1"/>
        <v>2495.82375</v>
      </c>
      <c r="E72" s="7">
        <f t="shared" ref="E72:E73" si="2">F72*12</f>
        <v>82</v>
      </c>
      <c r="F72" s="7">
        <f>82/12</f>
        <v>6.833333333333333</v>
      </c>
      <c r="J72" s="7"/>
      <c r="K72">
        <v>0.47703987051709146</v>
      </c>
      <c r="L72">
        <v>0.50329605759322349</v>
      </c>
      <c r="M72">
        <v>0.43730056134148737</v>
      </c>
      <c r="N72">
        <v>0.70995136639567169</v>
      </c>
      <c r="O72">
        <v>0.45517409256021607</v>
      </c>
      <c r="P72">
        <v>0.60620331876449263</v>
      </c>
      <c r="Q72">
        <v>0.4114582696739511</v>
      </c>
      <c r="R72">
        <v>0.61512275671406924</v>
      </c>
      <c r="S72">
        <v>0.45114376251318478</v>
      </c>
      <c r="T72">
        <v>0.55708201539996016</v>
      </c>
      <c r="U72">
        <v>0.44655390508716436</v>
      </c>
      <c r="V72">
        <v>0.53473993354989091</v>
      </c>
      <c r="W72">
        <v>0.42969097666160333</v>
      </c>
      <c r="X72">
        <v>0.58987375855964497</v>
      </c>
      <c r="Y72">
        <v>0.46602264237064206</v>
      </c>
      <c r="Z72">
        <v>0.54236653362965448</v>
      </c>
      <c r="AA72">
        <v>0.434529262675522</v>
      </c>
      <c r="AB72">
        <v>0.50075601715392226</v>
      </c>
      <c r="AC72">
        <v>0.51372874895754106</v>
      </c>
      <c r="AD72">
        <v>0.4799239111787858</v>
      </c>
    </row>
    <row r="73" spans="1:30" x14ac:dyDescent="0.2">
      <c r="A73" t="s">
        <v>107</v>
      </c>
      <c r="B73">
        <v>1</v>
      </c>
      <c r="C73">
        <v>0</v>
      </c>
      <c r="D73">
        <f t="shared" si="1"/>
        <v>5904.7537500000126</v>
      </c>
      <c r="E73" s="7">
        <f t="shared" si="2"/>
        <v>194.0000000000004</v>
      </c>
      <c r="F73" s="7">
        <v>16.1666666666667</v>
      </c>
      <c r="J73" s="7"/>
      <c r="K73">
        <v>0.43923528563457681</v>
      </c>
      <c r="L73">
        <v>0.55432087673088071</v>
      </c>
      <c r="M73">
        <v>0.42435157104649557</v>
      </c>
      <c r="N73">
        <v>0.75969220873776766</v>
      </c>
      <c r="O73">
        <v>0.41955357311458019</v>
      </c>
      <c r="P73">
        <v>0.56695097581799458</v>
      </c>
      <c r="Q73">
        <v>0.40216525888092169</v>
      </c>
      <c r="R73">
        <v>0.61566102386308552</v>
      </c>
      <c r="S73">
        <v>0.4416733141039339</v>
      </c>
      <c r="T73">
        <v>0.58619289466676061</v>
      </c>
      <c r="U73">
        <v>0.44458318765132043</v>
      </c>
      <c r="V73">
        <v>0.5391638610421654</v>
      </c>
      <c r="W73">
        <v>0.43859060760839708</v>
      </c>
      <c r="X73">
        <v>0.59668882336214302</v>
      </c>
      <c r="Y73">
        <v>0.45396861350329198</v>
      </c>
      <c r="Z73">
        <v>0.60163981710379244</v>
      </c>
      <c r="AA73">
        <v>0.41767667444786483</v>
      </c>
      <c r="AB73">
        <v>0.52910637794607773</v>
      </c>
      <c r="AC73">
        <v>0.46924798698111003</v>
      </c>
      <c r="AD73">
        <v>0.45172554641928542</v>
      </c>
    </row>
    <row r="74" spans="1:30" x14ac:dyDescent="0.2">
      <c r="A74" t="s">
        <v>52</v>
      </c>
      <c r="B74">
        <v>1</v>
      </c>
      <c r="C74">
        <v>0</v>
      </c>
      <c r="D74">
        <f t="shared" si="1"/>
        <v>3652.4250000000002</v>
      </c>
      <c r="E74" s="7">
        <v>120</v>
      </c>
      <c r="F74" s="7">
        <v>10</v>
      </c>
      <c r="J74" s="7"/>
      <c r="K74">
        <v>0.45851345819005418</v>
      </c>
      <c r="L74">
        <v>0.53001758996643222</v>
      </c>
      <c r="M74">
        <v>0.4390461143451681</v>
      </c>
      <c r="N74">
        <v>0.75095670977011253</v>
      </c>
      <c r="O74">
        <v>0.44488412613206724</v>
      </c>
      <c r="P74">
        <v>0.61143012977086331</v>
      </c>
      <c r="Q74">
        <v>0.41105693327222415</v>
      </c>
      <c r="R74">
        <v>0.59390667517539941</v>
      </c>
      <c r="S74">
        <v>0.47138036344622491</v>
      </c>
      <c r="T74">
        <v>0.55489715055840549</v>
      </c>
      <c r="U74">
        <v>0.46125187218423996</v>
      </c>
      <c r="V74">
        <v>0.54027381604511382</v>
      </c>
      <c r="W74">
        <v>0.47328067216703451</v>
      </c>
      <c r="X74">
        <v>0.57709858265773362</v>
      </c>
      <c r="Y74">
        <v>0.46857798705751907</v>
      </c>
      <c r="Z74">
        <v>0.51027595681553417</v>
      </c>
      <c r="AA74">
        <v>0.43407636059253668</v>
      </c>
      <c r="AB74">
        <v>0.53262886345756044</v>
      </c>
      <c r="AC74">
        <v>0.4953856290943473</v>
      </c>
      <c r="AD74">
        <v>0.48403007798242326</v>
      </c>
    </row>
    <row r="75" spans="1:30" x14ac:dyDescent="0.2">
      <c r="A75" t="s">
        <v>53</v>
      </c>
      <c r="B75">
        <v>1</v>
      </c>
      <c r="C75">
        <v>0</v>
      </c>
      <c r="D75">
        <f t="shared" si="1"/>
        <v>3287.1824999999999</v>
      </c>
      <c r="E75" s="7">
        <v>108</v>
      </c>
      <c r="F75" s="7">
        <v>9</v>
      </c>
      <c r="J75" s="7"/>
      <c r="K75">
        <v>0.46335795689071835</v>
      </c>
      <c r="L75">
        <v>0.56959220003364486</v>
      </c>
      <c r="M75">
        <v>0.45141270243049564</v>
      </c>
      <c r="N75">
        <v>0.74609732740603862</v>
      </c>
      <c r="O75">
        <v>0.44935482615188771</v>
      </c>
      <c r="P75">
        <v>0.60457813120926551</v>
      </c>
      <c r="Q75">
        <v>0.43413979397541336</v>
      </c>
      <c r="R75">
        <v>0.59743367274829484</v>
      </c>
      <c r="S75">
        <v>0.4871541297750846</v>
      </c>
      <c r="T75">
        <v>0.53440006179828914</v>
      </c>
      <c r="U75">
        <v>0.49413055105141457</v>
      </c>
      <c r="V75">
        <v>0.49733960204691774</v>
      </c>
      <c r="W75">
        <v>0.4854073512079643</v>
      </c>
      <c r="X75">
        <v>0.53971649063064409</v>
      </c>
      <c r="Y75">
        <v>0.4675940311116582</v>
      </c>
      <c r="Z75">
        <v>0.53142885329490408</v>
      </c>
      <c r="AA75">
        <v>0.44312330774552261</v>
      </c>
      <c r="AB75">
        <v>0.52512911564611964</v>
      </c>
      <c r="AC75">
        <v>0.50413712582469195</v>
      </c>
      <c r="AD75">
        <v>0.47160935521046277</v>
      </c>
    </row>
    <row r="76" spans="1:30" x14ac:dyDescent="0.2">
      <c r="A76" t="s">
        <v>108</v>
      </c>
      <c r="B76">
        <v>1</v>
      </c>
      <c r="C76">
        <v>0</v>
      </c>
      <c r="D76">
        <f t="shared" si="1"/>
        <v>6239.559374999988</v>
      </c>
      <c r="E76" s="7">
        <f t="shared" ref="E76:E77" si="3">F76*12</f>
        <v>204.9999999999996</v>
      </c>
      <c r="F76" s="7">
        <v>17.0833333333333</v>
      </c>
      <c r="J76" s="7"/>
      <c r="K76">
        <v>0.42653365033851226</v>
      </c>
      <c r="L76">
        <v>0.54566226235591175</v>
      </c>
      <c r="M76">
        <v>0.42624339964785529</v>
      </c>
      <c r="N76">
        <v>0.76464862529897637</v>
      </c>
      <c r="O76">
        <v>0.39250983257468663</v>
      </c>
      <c r="P76">
        <v>0.58786919731384635</v>
      </c>
      <c r="Q76">
        <v>0.38417512004343052</v>
      </c>
      <c r="R76">
        <v>0.63768298906171872</v>
      </c>
      <c r="S76">
        <v>0.4420691111365781</v>
      </c>
      <c r="T76">
        <v>0.55997554628052226</v>
      </c>
      <c r="U76">
        <v>0.44728731609140915</v>
      </c>
      <c r="V76">
        <v>0.56234580509843934</v>
      </c>
      <c r="W76">
        <v>0.45072064992200095</v>
      </c>
      <c r="X76">
        <v>0.6047458153601537</v>
      </c>
      <c r="Y76">
        <v>0.41664016840568363</v>
      </c>
      <c r="Z76">
        <v>0.50460199510051063</v>
      </c>
      <c r="AA76">
        <v>0.40820556083939613</v>
      </c>
      <c r="AB76">
        <v>0.56327851370719428</v>
      </c>
      <c r="AC76">
        <v>0.44415430475483408</v>
      </c>
      <c r="AD76">
        <v>0.48218138780589459</v>
      </c>
    </row>
    <row r="77" spans="1:30" x14ac:dyDescent="0.2">
      <c r="A77" t="s">
        <v>109</v>
      </c>
      <c r="B77">
        <v>1</v>
      </c>
      <c r="C77">
        <v>0</v>
      </c>
      <c r="D77">
        <f t="shared" si="1"/>
        <v>5722.1325000000124</v>
      </c>
      <c r="E77" s="7">
        <f t="shared" si="3"/>
        <v>188.0000000000004</v>
      </c>
      <c r="F77" s="7">
        <v>15.6666666666667</v>
      </c>
      <c r="J77" s="7"/>
      <c r="K77">
        <v>0.45769925190045468</v>
      </c>
      <c r="L77">
        <v>0.46908356607633872</v>
      </c>
      <c r="M77">
        <v>0.43598792103422257</v>
      </c>
      <c r="N77">
        <v>0.72910846436753729</v>
      </c>
      <c r="O77">
        <v>0.44883136672910906</v>
      </c>
      <c r="P77">
        <v>0.5364703987338626</v>
      </c>
      <c r="Q77">
        <v>0.40406612281311205</v>
      </c>
      <c r="R77">
        <v>0.61192738730086593</v>
      </c>
      <c r="S77">
        <v>0.45902786738405393</v>
      </c>
      <c r="T77">
        <v>0.53689232336552728</v>
      </c>
      <c r="U77">
        <v>0.46397937940609657</v>
      </c>
      <c r="V77">
        <v>0.49584941282193534</v>
      </c>
      <c r="W77">
        <v>0.45762350216828296</v>
      </c>
      <c r="X77">
        <v>0.55661144787371319</v>
      </c>
      <c r="Y77">
        <v>0.47746911117303714</v>
      </c>
      <c r="Z77">
        <v>0.44964571579122942</v>
      </c>
      <c r="AA77">
        <v>0.43460538225312095</v>
      </c>
      <c r="AB77">
        <v>0.49036826723085952</v>
      </c>
      <c r="AC77">
        <v>0.46588291084199562</v>
      </c>
      <c r="AD77">
        <v>0.48015937026134853</v>
      </c>
    </row>
    <row r="78" spans="1:30" x14ac:dyDescent="0.2">
      <c r="A78" t="s">
        <v>54</v>
      </c>
      <c r="B78">
        <v>1</v>
      </c>
      <c r="C78">
        <v>0</v>
      </c>
      <c r="D78">
        <f t="shared" si="1"/>
        <v>5478.6374999999998</v>
      </c>
      <c r="E78" s="7">
        <v>180</v>
      </c>
      <c r="F78" s="7">
        <v>15</v>
      </c>
      <c r="J78" s="7"/>
      <c r="K78">
        <v>0.43298071884414024</v>
      </c>
      <c r="L78">
        <v>0.53408671120871321</v>
      </c>
      <c r="M78">
        <v>0.41921423163611193</v>
      </c>
      <c r="N78">
        <v>0.71664909522155495</v>
      </c>
      <c r="O78">
        <v>0.41048427773632801</v>
      </c>
      <c r="P78">
        <v>0.62130404048255794</v>
      </c>
      <c r="Q78">
        <v>0.39163543333251144</v>
      </c>
      <c r="R78">
        <v>0.58574880992482359</v>
      </c>
      <c r="S78">
        <v>0.43584627148142313</v>
      </c>
      <c r="T78">
        <v>0.57466815852326736</v>
      </c>
      <c r="U78">
        <v>0.43974884657782692</v>
      </c>
      <c r="V78">
        <v>0.50939014996876508</v>
      </c>
      <c r="W78">
        <v>0.43249824186857772</v>
      </c>
      <c r="X78">
        <v>0.57014045103746702</v>
      </c>
      <c r="Y78">
        <v>0.44037112602174106</v>
      </c>
      <c r="Z78">
        <v>0.54930141923696807</v>
      </c>
      <c r="AA78">
        <v>0.41296710527729319</v>
      </c>
      <c r="AB78">
        <v>0.52041638758964026</v>
      </c>
      <c r="AC78">
        <v>0.4489918292785518</v>
      </c>
      <c r="AD78">
        <v>0.51652197774274788</v>
      </c>
    </row>
    <row r="79" spans="1:30" x14ac:dyDescent="0.2">
      <c r="A79" t="s">
        <v>55</v>
      </c>
      <c r="B79">
        <v>1</v>
      </c>
      <c r="C79">
        <v>0</v>
      </c>
      <c r="D79">
        <f t="shared" si="1"/>
        <v>4017.6675</v>
      </c>
      <c r="E79" s="7">
        <v>132</v>
      </c>
      <c r="F79" s="7">
        <v>11</v>
      </c>
      <c r="J79" s="7"/>
      <c r="K79">
        <v>0.44871989166896881</v>
      </c>
      <c r="L79">
        <v>0.48585522553019789</v>
      </c>
      <c r="M79">
        <v>0.45154391270748101</v>
      </c>
      <c r="N79">
        <v>0.72518598951578406</v>
      </c>
      <c r="O79">
        <v>0.4110281128644851</v>
      </c>
      <c r="P79">
        <v>0.60398738749716885</v>
      </c>
      <c r="Q79">
        <v>0.40352356402234052</v>
      </c>
      <c r="R79">
        <v>0.60987336706957374</v>
      </c>
      <c r="S79">
        <v>0.45410441481439162</v>
      </c>
      <c r="T79">
        <v>0.55191563182449654</v>
      </c>
      <c r="U79">
        <v>0.45260055082477885</v>
      </c>
      <c r="V79">
        <v>0.52605489368315228</v>
      </c>
      <c r="W79">
        <v>0.45259224034250289</v>
      </c>
      <c r="X79">
        <v>0.60601249871018337</v>
      </c>
      <c r="Y79">
        <v>0.44971736956695485</v>
      </c>
      <c r="Z79">
        <v>0.52284818097708052</v>
      </c>
      <c r="AA79">
        <v>0.41122119748709834</v>
      </c>
      <c r="AB79">
        <v>0.54632083580682167</v>
      </c>
      <c r="AC79">
        <v>0.46856698242133854</v>
      </c>
      <c r="AD79">
        <v>0.47707051042058496</v>
      </c>
    </row>
    <row r="80" spans="1:30" x14ac:dyDescent="0.2">
      <c r="A80" t="s">
        <v>56</v>
      </c>
      <c r="B80">
        <v>1</v>
      </c>
      <c r="C80">
        <v>0</v>
      </c>
      <c r="D80">
        <f t="shared" si="1"/>
        <v>4748.1525000000001</v>
      </c>
      <c r="E80" s="7">
        <v>156</v>
      </c>
      <c r="F80" s="7">
        <v>13</v>
      </c>
      <c r="J80" s="7"/>
      <c r="K80">
        <v>0.4286137445179124</v>
      </c>
      <c r="L80">
        <v>0.52518426884741531</v>
      </c>
      <c r="M80">
        <v>0.43311697256716564</v>
      </c>
      <c r="N80">
        <v>0.75503833649172081</v>
      </c>
      <c r="O80">
        <v>0.40877556201938281</v>
      </c>
      <c r="P80">
        <v>0.58749335612835218</v>
      </c>
      <c r="Q80">
        <v>0.39865833679630314</v>
      </c>
      <c r="R80">
        <v>0.62498823439795936</v>
      </c>
      <c r="S80">
        <v>0.44046524768454887</v>
      </c>
      <c r="T80">
        <v>0.57285273808360815</v>
      </c>
      <c r="U80">
        <v>0.43423675885700763</v>
      </c>
      <c r="V80">
        <v>0.54283985433493276</v>
      </c>
      <c r="W80">
        <v>0.43745478808817273</v>
      </c>
      <c r="X80">
        <v>0.62959076698983885</v>
      </c>
      <c r="Y80">
        <v>0.43491119368270947</v>
      </c>
      <c r="Z80">
        <v>0.56997929646134482</v>
      </c>
      <c r="AA80">
        <v>0.41264273095109455</v>
      </c>
      <c r="AB80">
        <v>0.53494085680677528</v>
      </c>
      <c r="AC80">
        <v>0.4481945018344522</v>
      </c>
      <c r="AD80">
        <v>0.49127787368001563</v>
      </c>
    </row>
    <row r="81" spans="1:30" x14ac:dyDescent="0.2">
      <c r="A81" t="s">
        <v>57</v>
      </c>
      <c r="B81">
        <v>1</v>
      </c>
      <c r="C81">
        <v>0</v>
      </c>
      <c r="D81">
        <f t="shared" si="1"/>
        <v>5843.88</v>
      </c>
      <c r="E81" s="7">
        <v>192</v>
      </c>
      <c r="F81" s="7">
        <v>16</v>
      </c>
      <c r="J81" s="7"/>
      <c r="K81">
        <v>0.4451933313561337</v>
      </c>
      <c r="L81">
        <v>0.52664876094540225</v>
      </c>
      <c r="M81">
        <v>0.43696825948336426</v>
      </c>
      <c r="N81">
        <v>0.759124687159901</v>
      </c>
      <c r="O81">
        <v>0.42385033693568569</v>
      </c>
      <c r="P81">
        <v>0.58731501366572214</v>
      </c>
      <c r="Q81">
        <v>0.39951670597883321</v>
      </c>
      <c r="R81">
        <v>0.63414894473422423</v>
      </c>
      <c r="S81">
        <v>0.43743125004068439</v>
      </c>
      <c r="T81">
        <v>0.59287136322457445</v>
      </c>
      <c r="U81">
        <v>0.44052995494505376</v>
      </c>
      <c r="V81">
        <v>0.54940118562291007</v>
      </c>
      <c r="W81">
        <v>0.43617136076859603</v>
      </c>
      <c r="X81">
        <v>0.62576673326946097</v>
      </c>
      <c r="Y81">
        <v>0.45813869974506061</v>
      </c>
      <c r="Z81">
        <v>0.56958202605596708</v>
      </c>
      <c r="AA81">
        <v>0.41606734635325349</v>
      </c>
      <c r="AB81">
        <v>0.55597627129799776</v>
      </c>
      <c r="AC81">
        <v>0.47959229829026073</v>
      </c>
      <c r="AD81">
        <v>0.45017970031564492</v>
      </c>
    </row>
    <row r="82" spans="1:30" x14ac:dyDescent="0.2">
      <c r="A82" t="s">
        <v>110</v>
      </c>
      <c r="B82">
        <v>1</v>
      </c>
      <c r="C82">
        <v>0</v>
      </c>
      <c r="D82">
        <f t="shared" si="1"/>
        <v>2830.629375</v>
      </c>
      <c r="E82" s="7">
        <f>F82*12</f>
        <v>93</v>
      </c>
      <c r="F82" s="7">
        <v>7.75</v>
      </c>
      <c r="J82" s="7"/>
      <c r="K82">
        <v>0.45851403497098353</v>
      </c>
      <c r="L82">
        <v>0.50472229476732211</v>
      </c>
      <c r="M82">
        <v>0.44019943244527165</v>
      </c>
      <c r="N82">
        <v>0.69278734517742202</v>
      </c>
      <c r="O82">
        <v>0.41905876529076364</v>
      </c>
      <c r="P82">
        <v>0.59950934929304323</v>
      </c>
      <c r="Q82">
        <v>0.41614885523616418</v>
      </c>
      <c r="R82">
        <v>0.58319419413311013</v>
      </c>
      <c r="S82">
        <v>0.47187707059302192</v>
      </c>
      <c r="T82">
        <v>0.5091085435677507</v>
      </c>
      <c r="U82">
        <v>0.48140875595073468</v>
      </c>
      <c r="V82">
        <v>0.46037442678806323</v>
      </c>
      <c r="W82">
        <v>0.46552648410140945</v>
      </c>
      <c r="X82">
        <v>0.54168474943639144</v>
      </c>
      <c r="Y82">
        <v>0.46074785565660459</v>
      </c>
      <c r="Z82">
        <v>0.47163895965120589</v>
      </c>
      <c r="AA82">
        <v>0.42864556172205975</v>
      </c>
      <c r="AB82">
        <v>0.52180272351663604</v>
      </c>
      <c r="AC82">
        <v>0.48761118282513294</v>
      </c>
      <c r="AD82">
        <v>0.46264032803292582</v>
      </c>
    </row>
    <row r="83" spans="1:30" x14ac:dyDescent="0.2">
      <c r="A83" t="s">
        <v>58</v>
      </c>
      <c r="B83">
        <v>1</v>
      </c>
      <c r="C83">
        <v>0</v>
      </c>
      <c r="D83">
        <f t="shared" si="1"/>
        <v>7304.85</v>
      </c>
      <c r="E83" s="7">
        <v>240</v>
      </c>
      <c r="F83" s="7">
        <v>20</v>
      </c>
      <c r="J83" s="7"/>
      <c r="K83">
        <v>0.41286625519769632</v>
      </c>
      <c r="L83">
        <v>0.56872284960395758</v>
      </c>
      <c r="M83">
        <v>0.40404254649511284</v>
      </c>
      <c r="N83">
        <v>0.78944343767160818</v>
      </c>
      <c r="O83">
        <v>0.40417820287453488</v>
      </c>
      <c r="P83">
        <v>0.61660998995625493</v>
      </c>
      <c r="Q83">
        <v>0.37929980888961412</v>
      </c>
      <c r="R83">
        <v>0.61582101205288109</v>
      </c>
      <c r="S83">
        <v>0.42937602042321615</v>
      </c>
      <c r="T83">
        <v>0.59169326025740365</v>
      </c>
      <c r="U83">
        <v>0.41939405604418489</v>
      </c>
      <c r="V83">
        <v>0.5756938993959253</v>
      </c>
      <c r="W83">
        <v>0.42286362292275675</v>
      </c>
      <c r="X83">
        <v>0.59942278696958606</v>
      </c>
      <c r="Y83">
        <v>0.43976920714656781</v>
      </c>
      <c r="Z83">
        <v>0.53286158813931439</v>
      </c>
      <c r="AA83">
        <v>0.40479204071232361</v>
      </c>
      <c r="AB83">
        <v>0.54701518333632004</v>
      </c>
      <c r="AC83">
        <v>0.46124041321985726</v>
      </c>
      <c r="AD83">
        <v>0.47748663704374728</v>
      </c>
    </row>
    <row r="84" spans="1:30" x14ac:dyDescent="0.2">
      <c r="A84" t="s">
        <v>59</v>
      </c>
      <c r="B84">
        <v>1</v>
      </c>
      <c r="C84">
        <v>0</v>
      </c>
      <c r="D84">
        <f t="shared" si="1"/>
        <v>4382.91</v>
      </c>
      <c r="E84" s="7">
        <v>144</v>
      </c>
      <c r="F84" s="7">
        <v>12</v>
      </c>
      <c r="J84" s="7"/>
      <c r="K84">
        <v>0.45997052482863976</v>
      </c>
      <c r="L84">
        <v>0.5087647672118123</v>
      </c>
      <c r="M84">
        <v>0.46181663411467355</v>
      </c>
      <c r="N84">
        <v>0.68831125112180236</v>
      </c>
      <c r="O84">
        <v>0.43174943185965553</v>
      </c>
      <c r="P84">
        <v>0.60955742281585068</v>
      </c>
      <c r="Q84">
        <v>0.41227984671497608</v>
      </c>
      <c r="R84">
        <v>0.60765573206227186</v>
      </c>
      <c r="S84">
        <v>0.45016587942252767</v>
      </c>
      <c r="T84">
        <v>0.55125163366953012</v>
      </c>
      <c r="U84">
        <v>0.43617304677711227</v>
      </c>
      <c r="V84">
        <v>0.53218249897739001</v>
      </c>
      <c r="W84">
        <v>0.45384476105824667</v>
      </c>
      <c r="X84">
        <v>0.57689260468904879</v>
      </c>
      <c r="Y84">
        <v>0.46399964480465528</v>
      </c>
      <c r="Z84">
        <v>0.47612287223119232</v>
      </c>
      <c r="AA84">
        <v>0.42639884980119003</v>
      </c>
      <c r="AB84">
        <v>0.51283637618639388</v>
      </c>
      <c r="AC84">
        <v>0.48669855048321908</v>
      </c>
      <c r="AD84">
        <v>0.45908168408260275</v>
      </c>
    </row>
    <row r="85" spans="1:30" x14ac:dyDescent="0.2">
      <c r="A85" t="s">
        <v>60</v>
      </c>
      <c r="B85">
        <v>1</v>
      </c>
      <c r="C85">
        <v>0</v>
      </c>
      <c r="D85">
        <f t="shared" si="1"/>
        <v>6209.1225000000004</v>
      </c>
      <c r="E85" s="8">
        <v>204</v>
      </c>
      <c r="F85" s="7">
        <v>17</v>
      </c>
      <c r="J85" s="7"/>
      <c r="K85">
        <v>0.42362871948225778</v>
      </c>
      <c r="L85">
        <v>0.57300697733799733</v>
      </c>
      <c r="M85">
        <v>0.41307625023023603</v>
      </c>
      <c r="N85">
        <v>0.79146627469059783</v>
      </c>
      <c r="O85">
        <v>0.39455533846990526</v>
      </c>
      <c r="P85">
        <v>0.65252579930020282</v>
      </c>
      <c r="Q85">
        <v>0.39048968807611473</v>
      </c>
      <c r="R85">
        <v>0.61096101589090934</v>
      </c>
      <c r="S85">
        <v>0.43020429865426929</v>
      </c>
      <c r="T85">
        <v>0.58421901412588906</v>
      </c>
      <c r="U85">
        <v>0.44100323698834493</v>
      </c>
      <c r="V85">
        <v>0.53368986973345567</v>
      </c>
      <c r="W85">
        <v>0.42557897472094053</v>
      </c>
      <c r="X85">
        <v>0.61480979907940703</v>
      </c>
      <c r="Y85">
        <v>0.45706079603990546</v>
      </c>
      <c r="Z85">
        <v>0.51262080164823876</v>
      </c>
      <c r="AA85">
        <v>0.39864403489091521</v>
      </c>
      <c r="AB85">
        <v>0.55614963356431413</v>
      </c>
      <c r="AC85">
        <v>0.4582262545736584</v>
      </c>
      <c r="AD85">
        <v>0.49473014906250112</v>
      </c>
    </row>
    <row r="86" spans="1:30" x14ac:dyDescent="0.2">
      <c r="A86" s="2" t="s">
        <v>61</v>
      </c>
      <c r="B86">
        <v>1</v>
      </c>
      <c r="C86">
        <v>0</v>
      </c>
      <c r="D86">
        <f t="shared" si="1"/>
        <v>5113.3950000000004</v>
      </c>
      <c r="E86" s="8">
        <v>168</v>
      </c>
      <c r="F86" s="7">
        <v>14</v>
      </c>
      <c r="J86" s="7"/>
      <c r="K86">
        <v>0.43059661115435388</v>
      </c>
      <c r="L86">
        <v>0.55777794222361754</v>
      </c>
      <c r="M86">
        <v>0.41539392572634382</v>
      </c>
      <c r="N86">
        <v>0.74873540135913974</v>
      </c>
      <c r="O86">
        <v>0.3975044679285768</v>
      </c>
      <c r="P86">
        <v>0.60415207366262458</v>
      </c>
      <c r="Q86">
        <v>0.38660210785128013</v>
      </c>
      <c r="R86">
        <v>0.62981983562453003</v>
      </c>
      <c r="S86">
        <v>0.43630808392153464</v>
      </c>
      <c r="T86">
        <v>0.58474344681062007</v>
      </c>
      <c r="U86">
        <v>0.44017198465019786</v>
      </c>
      <c r="V86">
        <v>0.542137433299125</v>
      </c>
      <c r="W86">
        <v>0.4514978494306835</v>
      </c>
      <c r="X86">
        <v>0.56743492563577591</v>
      </c>
      <c r="Y86">
        <v>0.43374838156428447</v>
      </c>
      <c r="Z86">
        <v>0.49463979105141381</v>
      </c>
      <c r="AA86">
        <v>0.41207885255285132</v>
      </c>
      <c r="AB86">
        <v>0.54113975684382809</v>
      </c>
      <c r="AC86">
        <v>0.45033056539620608</v>
      </c>
      <c r="AD86">
        <v>0.5015685958518854</v>
      </c>
    </row>
    <row r="87" spans="1:30" x14ac:dyDescent="0.2">
      <c r="A87" s="2" t="s">
        <v>62</v>
      </c>
      <c r="B87">
        <v>1</v>
      </c>
      <c r="C87">
        <v>0</v>
      </c>
      <c r="D87">
        <f t="shared" si="1"/>
        <v>3652.4250000000002</v>
      </c>
      <c r="E87" s="8">
        <v>120</v>
      </c>
      <c r="F87" s="7">
        <v>10</v>
      </c>
      <c r="J87" s="7"/>
      <c r="K87">
        <v>0.45438424302157765</v>
      </c>
      <c r="L87">
        <v>0.50966953665308468</v>
      </c>
      <c r="M87">
        <v>0.4453055626898304</v>
      </c>
      <c r="N87">
        <v>0.70374769904447254</v>
      </c>
      <c r="O87">
        <v>0.44468848705056924</v>
      </c>
      <c r="P87">
        <v>0.54118948619429708</v>
      </c>
      <c r="Q87">
        <v>0.41604003673206591</v>
      </c>
      <c r="R87">
        <v>0.59681006189597385</v>
      </c>
      <c r="S87">
        <v>0.47742047008907729</v>
      </c>
      <c r="T87">
        <v>0.50147438318869797</v>
      </c>
      <c r="U87">
        <v>0.48674774894779455</v>
      </c>
      <c r="V87">
        <v>0.49654118092511262</v>
      </c>
      <c r="W87">
        <v>0.47072759392151975</v>
      </c>
      <c r="X87">
        <v>0.55051503907811639</v>
      </c>
      <c r="Y87">
        <v>0.45218068465940392</v>
      </c>
      <c r="Z87">
        <v>0.48007148367890984</v>
      </c>
      <c r="AA87">
        <v>0.44997770351377664</v>
      </c>
      <c r="AB87">
        <v>0.49109435969604787</v>
      </c>
      <c r="AC87">
        <v>0.49873228070242159</v>
      </c>
      <c r="AD87">
        <v>0.42421429802608601</v>
      </c>
    </row>
    <row r="88" spans="1:30" x14ac:dyDescent="0.2">
      <c r="A88" s="2" t="s">
        <v>63</v>
      </c>
      <c r="B88">
        <v>1</v>
      </c>
      <c r="C88">
        <v>0</v>
      </c>
      <c r="D88">
        <f t="shared" si="1"/>
        <v>3287.1824999999999</v>
      </c>
      <c r="E88" s="8">
        <v>108</v>
      </c>
      <c r="F88" s="7">
        <v>9</v>
      </c>
      <c r="J88" s="7"/>
      <c r="K88">
        <v>0.47246185604273699</v>
      </c>
      <c r="L88">
        <v>0.47831709843100007</v>
      </c>
      <c r="M88">
        <v>0.45520606715107137</v>
      </c>
      <c r="N88">
        <v>0.72601028748474361</v>
      </c>
      <c r="O88">
        <v>0.42698060624100254</v>
      </c>
      <c r="P88">
        <v>0.58007689350448222</v>
      </c>
      <c r="Q88">
        <v>0.41268561975655349</v>
      </c>
      <c r="R88">
        <v>0.63920460852894512</v>
      </c>
      <c r="S88">
        <v>0.45988264605301915</v>
      </c>
      <c r="T88">
        <v>0.58797049157766379</v>
      </c>
      <c r="U88">
        <v>0.47079710225635313</v>
      </c>
      <c r="V88">
        <v>0.5265866585265383</v>
      </c>
      <c r="W88">
        <v>0.45658418505676623</v>
      </c>
      <c r="X88">
        <v>0.592981100546905</v>
      </c>
      <c r="Y88">
        <v>0.45903516977104336</v>
      </c>
      <c r="Z88">
        <v>0.5867358364952111</v>
      </c>
      <c r="AA88">
        <v>0.44192064460365055</v>
      </c>
      <c r="AB88">
        <v>0.52840234135304331</v>
      </c>
      <c r="AC88">
        <v>0.4780326675381813</v>
      </c>
      <c r="AD88">
        <v>0.49215846831912324</v>
      </c>
    </row>
    <row r="89" spans="1:30" x14ac:dyDescent="0.2">
      <c r="A89" t="s">
        <v>111</v>
      </c>
      <c r="B89">
        <v>1</v>
      </c>
      <c r="C89">
        <v>0</v>
      </c>
      <c r="D89">
        <f t="shared" si="1"/>
        <v>3865.4831249999879</v>
      </c>
      <c r="E89" s="7">
        <f>F89*12</f>
        <v>126.9999999999996</v>
      </c>
      <c r="F89" s="7">
        <v>10.5833333333333</v>
      </c>
      <c r="J89" s="7"/>
      <c r="K89">
        <v>0.45414854962020063</v>
      </c>
      <c r="L89">
        <v>0.53152481089546422</v>
      </c>
      <c r="M89">
        <v>0.4616689709158554</v>
      </c>
      <c r="N89">
        <v>0.74485873095718902</v>
      </c>
      <c r="O89">
        <v>0.43140230564527948</v>
      </c>
      <c r="P89">
        <v>0.58368835807479347</v>
      </c>
      <c r="Q89">
        <v>0.41160325770067024</v>
      </c>
      <c r="R89">
        <v>0.64246296245845957</v>
      </c>
      <c r="S89">
        <v>0.47785647032510781</v>
      </c>
      <c r="T89">
        <v>0.53883228690080498</v>
      </c>
      <c r="U89">
        <v>0.48803835641015514</v>
      </c>
      <c r="V89">
        <v>0.49658179631206928</v>
      </c>
      <c r="W89">
        <v>0.47995594627095695</v>
      </c>
      <c r="X89">
        <v>0.59261503077160993</v>
      </c>
      <c r="Y89">
        <v>0.46052075505231604</v>
      </c>
      <c r="Z89">
        <v>0.48988332741045115</v>
      </c>
      <c r="AA89">
        <v>0.45734026088617374</v>
      </c>
      <c r="AB89">
        <v>0.5119547843934884</v>
      </c>
      <c r="AC89">
        <v>0.48898973986455807</v>
      </c>
      <c r="AD89">
        <v>0.47979117232459945</v>
      </c>
    </row>
    <row r="90" spans="1:30" x14ac:dyDescent="0.2">
      <c r="A90" s="2" t="s">
        <v>64</v>
      </c>
      <c r="B90">
        <v>1</v>
      </c>
      <c r="C90">
        <v>0</v>
      </c>
      <c r="D90">
        <f t="shared" si="1"/>
        <v>4748.1525000000001</v>
      </c>
      <c r="E90" s="8">
        <v>156</v>
      </c>
      <c r="F90" s="7">
        <v>13</v>
      </c>
      <c r="J90" s="7"/>
      <c r="K90">
        <v>0.43092785111053933</v>
      </c>
      <c r="L90">
        <v>0.54657830597076917</v>
      </c>
      <c r="M90">
        <v>0.44609300981741223</v>
      </c>
      <c r="N90">
        <v>0.68637779137428845</v>
      </c>
      <c r="O90">
        <v>0.42102266338729849</v>
      </c>
      <c r="P90">
        <v>0.62687716980226749</v>
      </c>
      <c r="Q90">
        <v>0.38352221088902783</v>
      </c>
      <c r="R90">
        <v>0.62577622718900217</v>
      </c>
      <c r="S90">
        <v>0.44300157335141988</v>
      </c>
      <c r="T90">
        <v>0.57744768152868464</v>
      </c>
      <c r="U90">
        <v>0.4435608878339739</v>
      </c>
      <c r="V90">
        <v>0.53531605353316547</v>
      </c>
      <c r="W90">
        <v>0.44335684832441996</v>
      </c>
      <c r="X90">
        <v>0.63633458138677546</v>
      </c>
      <c r="Y90">
        <v>0.4433789338098908</v>
      </c>
      <c r="Z90">
        <v>0.50452318417582531</v>
      </c>
      <c r="AA90">
        <v>0.411174327286843</v>
      </c>
      <c r="AB90">
        <v>0.54572100997691841</v>
      </c>
      <c r="AC90">
        <v>0.4633147413224627</v>
      </c>
      <c r="AD90">
        <v>0.51461603924360388</v>
      </c>
    </row>
    <row r="91" spans="1:30" x14ac:dyDescent="0.2">
      <c r="A91" s="2" t="s">
        <v>65</v>
      </c>
      <c r="B91">
        <v>1</v>
      </c>
      <c r="C91">
        <v>0</v>
      </c>
      <c r="D91">
        <f t="shared" si="1"/>
        <v>5113.3950000000004</v>
      </c>
      <c r="E91" s="8">
        <v>168</v>
      </c>
      <c r="F91" s="7">
        <v>14</v>
      </c>
      <c r="J91" s="7"/>
      <c r="K91">
        <v>0.43226333793747901</v>
      </c>
      <c r="L91">
        <v>0.56025130650519095</v>
      </c>
      <c r="M91">
        <v>0.42852203079290996</v>
      </c>
      <c r="N91">
        <v>0.76825232689831668</v>
      </c>
      <c r="O91">
        <v>0.41181788491554583</v>
      </c>
      <c r="P91">
        <v>0.59607377559937524</v>
      </c>
      <c r="Q91">
        <v>0.39388340012973921</v>
      </c>
      <c r="R91">
        <v>0.64029366378143426</v>
      </c>
      <c r="S91">
        <v>0.45147029003735273</v>
      </c>
      <c r="T91">
        <v>0.55232333379385312</v>
      </c>
      <c r="U91">
        <v>0.46050878265277484</v>
      </c>
      <c r="V91">
        <v>0.51281538267550086</v>
      </c>
      <c r="W91">
        <v>0.45573644458301893</v>
      </c>
      <c r="X91">
        <v>0.5771017515872654</v>
      </c>
      <c r="Y91">
        <v>0.43144060044364591</v>
      </c>
      <c r="Z91">
        <v>0.54868117852922338</v>
      </c>
      <c r="AA91">
        <v>0.41712538891618706</v>
      </c>
      <c r="AB91">
        <v>0.52668501156019354</v>
      </c>
      <c r="AC91">
        <v>0.47287590975005295</v>
      </c>
      <c r="AD91">
        <v>0.48252208873584906</v>
      </c>
    </row>
    <row r="92" spans="1:30" x14ac:dyDescent="0.2">
      <c r="A92" s="2" t="s">
        <v>66</v>
      </c>
      <c r="B92">
        <v>1</v>
      </c>
      <c r="C92">
        <v>0</v>
      </c>
      <c r="D92">
        <f t="shared" si="1"/>
        <v>4748.1525000000001</v>
      </c>
      <c r="E92" s="8">
        <v>156</v>
      </c>
      <c r="F92" s="7">
        <v>13</v>
      </c>
      <c r="J92" s="7"/>
      <c r="K92">
        <v>0.42893601392258118</v>
      </c>
      <c r="L92">
        <v>0.58292284591467003</v>
      </c>
      <c r="M92">
        <v>0.44034369161675518</v>
      </c>
      <c r="N92">
        <v>0.76876971621652856</v>
      </c>
      <c r="O92">
        <v>0.4254342900392028</v>
      </c>
      <c r="P92">
        <v>0.6332942058109341</v>
      </c>
      <c r="Q92">
        <v>0.40259735437222111</v>
      </c>
      <c r="R92">
        <v>0.62648115171699248</v>
      </c>
      <c r="S92">
        <v>0.44839336301684229</v>
      </c>
      <c r="T92">
        <v>0.59777581395002288</v>
      </c>
      <c r="U92">
        <v>0.44389791964104808</v>
      </c>
      <c r="V92">
        <v>0.55282931869056662</v>
      </c>
      <c r="W92">
        <v>0.44116681850492412</v>
      </c>
      <c r="X92">
        <v>0.60923193871328796</v>
      </c>
      <c r="Y92">
        <v>0.45810971513510629</v>
      </c>
      <c r="Z92">
        <v>0.54982776046149717</v>
      </c>
      <c r="AA92">
        <v>0.41731116803576879</v>
      </c>
      <c r="AB92">
        <v>0.54188932284726632</v>
      </c>
      <c r="AC92">
        <v>0.46502382698074607</v>
      </c>
      <c r="AD92">
        <v>0.50526849944536567</v>
      </c>
    </row>
    <row r="93" spans="1:30" x14ac:dyDescent="0.2">
      <c r="A93" s="2" t="s">
        <v>67</v>
      </c>
      <c r="B93">
        <v>1</v>
      </c>
      <c r="C93">
        <v>0</v>
      </c>
      <c r="D93">
        <f t="shared" si="1"/>
        <v>5113.3950000000004</v>
      </c>
      <c r="E93" s="8">
        <v>168</v>
      </c>
      <c r="F93" s="7">
        <v>14</v>
      </c>
      <c r="J93" s="7"/>
      <c r="K93">
        <v>0.43576538369065271</v>
      </c>
      <c r="L93">
        <v>0.51478185078665528</v>
      </c>
      <c r="M93">
        <v>0.44916033635079577</v>
      </c>
      <c r="N93">
        <v>0.72347891930429475</v>
      </c>
      <c r="O93">
        <v>0.4162156177504957</v>
      </c>
      <c r="P93">
        <v>0.59692234145393275</v>
      </c>
      <c r="Q93">
        <v>0.40490395228516107</v>
      </c>
      <c r="R93">
        <v>0.60297216410611421</v>
      </c>
      <c r="S93">
        <v>0.4566506747499246</v>
      </c>
      <c r="T93">
        <v>0.55566485310235092</v>
      </c>
      <c r="U93">
        <v>0.45924584448419903</v>
      </c>
      <c r="V93">
        <v>0.52523161780216876</v>
      </c>
      <c r="W93">
        <v>0.4651631072991903</v>
      </c>
      <c r="X93">
        <v>0.58589981347601816</v>
      </c>
      <c r="Y93">
        <v>0.42637598556556211</v>
      </c>
      <c r="Z93">
        <v>0.4761713715216363</v>
      </c>
      <c r="AA93">
        <v>0.42422984516592255</v>
      </c>
      <c r="AB93">
        <v>0.54699270300958425</v>
      </c>
      <c r="AC93">
        <v>0.48294170657320901</v>
      </c>
      <c r="AD93">
        <v>0.45925962965098643</v>
      </c>
    </row>
    <row r="94" spans="1:30" x14ac:dyDescent="0.2">
      <c r="A94" s="2" t="s">
        <v>68</v>
      </c>
      <c r="B94">
        <v>1</v>
      </c>
      <c r="C94">
        <v>0</v>
      </c>
      <c r="D94">
        <f t="shared" si="1"/>
        <v>5113.3950000000004</v>
      </c>
      <c r="E94" s="8">
        <v>168</v>
      </c>
      <c r="F94" s="7">
        <v>14</v>
      </c>
      <c r="J94" s="7"/>
      <c r="K94">
        <v>0.43854181956377136</v>
      </c>
      <c r="L94">
        <v>0.57642644158529033</v>
      </c>
      <c r="M94">
        <v>0.43394941226779665</v>
      </c>
      <c r="N94">
        <v>0.72907803508653402</v>
      </c>
      <c r="O94">
        <v>0.44362213618337504</v>
      </c>
      <c r="P94">
        <v>0.57867998201395476</v>
      </c>
      <c r="Q94">
        <v>0.38966831617319919</v>
      </c>
      <c r="R94">
        <v>0.61156753989848167</v>
      </c>
      <c r="S94">
        <v>0.46465933877267213</v>
      </c>
      <c r="T94">
        <v>0.53140421438567087</v>
      </c>
      <c r="U94">
        <v>0.47384491601398332</v>
      </c>
      <c r="V94">
        <v>0.49189162449424984</v>
      </c>
      <c r="W94">
        <v>0.4793985100255555</v>
      </c>
      <c r="X94">
        <v>0.50783449590251428</v>
      </c>
      <c r="Y94">
        <v>0.440392851010174</v>
      </c>
      <c r="Z94">
        <v>0.50825780567956103</v>
      </c>
      <c r="AA94">
        <v>0.43722721979453516</v>
      </c>
      <c r="AB94">
        <v>0.51051528673219437</v>
      </c>
      <c r="AC94">
        <v>0.48143599304047069</v>
      </c>
      <c r="AD94">
        <v>0.46053389757526719</v>
      </c>
    </row>
    <row r="95" spans="1:30" x14ac:dyDescent="0.2">
      <c r="A95" s="2" t="s">
        <v>69</v>
      </c>
      <c r="B95">
        <v>1</v>
      </c>
      <c r="C95">
        <v>0</v>
      </c>
      <c r="D95">
        <f t="shared" si="1"/>
        <v>3652.4250000000002</v>
      </c>
      <c r="E95" s="8">
        <v>120</v>
      </c>
      <c r="F95" s="7">
        <v>10</v>
      </c>
      <c r="J95" s="7"/>
      <c r="K95">
        <v>0.45816560430950554</v>
      </c>
      <c r="L95">
        <v>0.52615717778270965</v>
      </c>
      <c r="M95">
        <v>0.43140850413290072</v>
      </c>
      <c r="N95">
        <v>0.76289407943315979</v>
      </c>
      <c r="O95">
        <v>0.42687704363418916</v>
      </c>
      <c r="P95">
        <v>0.59905694088467765</v>
      </c>
      <c r="Q95">
        <v>0.40366902010452044</v>
      </c>
      <c r="R95">
        <v>0.63867246099547725</v>
      </c>
      <c r="S95">
        <v>0.45628203891471725</v>
      </c>
      <c r="T95">
        <v>0.57091048521441512</v>
      </c>
      <c r="U95">
        <v>0.47077316725152196</v>
      </c>
      <c r="V95">
        <v>0.51406030426711924</v>
      </c>
      <c r="W95">
        <v>0.4542989845816951</v>
      </c>
      <c r="X95">
        <v>0.58953985025222111</v>
      </c>
      <c r="Y95">
        <v>0.43803108529126406</v>
      </c>
      <c r="Z95">
        <v>0.52946298233883848</v>
      </c>
      <c r="AA95">
        <v>0.42772201172228697</v>
      </c>
      <c r="AB95">
        <v>0.48886716921044238</v>
      </c>
      <c r="AC95">
        <v>0.47794394714908917</v>
      </c>
      <c r="AD95">
        <v>0.49133493563675934</v>
      </c>
    </row>
    <row r="96" spans="1:30" x14ac:dyDescent="0.2">
      <c r="A96" t="s">
        <v>112</v>
      </c>
      <c r="B96">
        <v>1</v>
      </c>
      <c r="C96">
        <v>0</v>
      </c>
      <c r="D96">
        <f t="shared" si="1"/>
        <v>5296.0162499999997</v>
      </c>
      <c r="E96" s="7">
        <f>F96*12</f>
        <v>174</v>
      </c>
      <c r="F96" s="7">
        <v>14.5</v>
      </c>
      <c r="J96" s="7"/>
      <c r="K96">
        <v>0.44320306526628839</v>
      </c>
      <c r="L96">
        <v>0.53731327834299192</v>
      </c>
      <c r="M96">
        <v>0.422371319248107</v>
      </c>
      <c r="N96">
        <v>0.77767805189975681</v>
      </c>
      <c r="O96">
        <v>0.42854333610389073</v>
      </c>
      <c r="P96">
        <v>0.62045847992658154</v>
      </c>
      <c r="Q96">
        <v>0.38696621869110032</v>
      </c>
      <c r="R96">
        <v>0.62953342580214988</v>
      </c>
      <c r="S96">
        <v>0.45346096626030119</v>
      </c>
      <c r="T96">
        <v>0.55932888714615348</v>
      </c>
      <c r="U96">
        <v>0.45910226438648427</v>
      </c>
      <c r="V96">
        <v>0.52457240825909424</v>
      </c>
      <c r="W96">
        <v>0.45143402052501419</v>
      </c>
      <c r="X96">
        <v>0.59443795161867241</v>
      </c>
      <c r="Y96">
        <v>0.43970578113348024</v>
      </c>
      <c r="Z96">
        <v>0.52622331103314435</v>
      </c>
      <c r="AA96">
        <v>0.41652950236864478</v>
      </c>
      <c r="AB96">
        <v>0.53216411830536381</v>
      </c>
      <c r="AC96">
        <v>0.47204177301272765</v>
      </c>
      <c r="AD96">
        <v>0.47940859921807155</v>
      </c>
    </row>
    <row r="97" spans="1:30" x14ac:dyDescent="0.2">
      <c r="A97" s="2" t="s">
        <v>70</v>
      </c>
      <c r="B97">
        <v>1</v>
      </c>
      <c r="C97">
        <v>0</v>
      </c>
      <c r="D97">
        <f t="shared" si="1"/>
        <v>3652.4250000000002</v>
      </c>
      <c r="E97" s="8">
        <v>120</v>
      </c>
      <c r="F97" s="7">
        <v>10</v>
      </c>
      <c r="J97" s="7"/>
      <c r="K97">
        <v>0.4481703433056336</v>
      </c>
      <c r="L97">
        <v>0.5317629987757504</v>
      </c>
      <c r="M97">
        <v>0.43159929223264532</v>
      </c>
      <c r="N97">
        <v>0.72820778784567597</v>
      </c>
      <c r="O97">
        <v>0.40947330149211603</v>
      </c>
      <c r="P97">
        <v>0.58627582332617767</v>
      </c>
      <c r="Q97">
        <v>0.40125648320223545</v>
      </c>
      <c r="R97">
        <v>0.6020735046065937</v>
      </c>
      <c r="S97">
        <v>0.46409879727980863</v>
      </c>
      <c r="T97">
        <v>0.55260252891707373</v>
      </c>
      <c r="U97">
        <v>0.46888275705998</v>
      </c>
      <c r="V97">
        <v>0.5330539142262446</v>
      </c>
      <c r="W97">
        <v>0.46347316765919738</v>
      </c>
      <c r="X97">
        <v>0.55561060352313341</v>
      </c>
      <c r="Y97">
        <v>0.44590646360979519</v>
      </c>
      <c r="Z97">
        <v>0.48943111945982487</v>
      </c>
      <c r="AA97">
        <v>0.44058026941116457</v>
      </c>
      <c r="AB97">
        <v>0.49407147097419796</v>
      </c>
      <c r="AC97">
        <v>0.46890846995138746</v>
      </c>
      <c r="AD97">
        <v>0.47385428950043218</v>
      </c>
    </row>
    <row r="98" spans="1:30" x14ac:dyDescent="0.2">
      <c r="A98" s="2" t="s">
        <v>71</v>
      </c>
      <c r="B98">
        <v>1</v>
      </c>
      <c r="C98">
        <v>0</v>
      </c>
      <c r="D98">
        <f t="shared" si="1"/>
        <v>4382.91</v>
      </c>
      <c r="E98" s="8">
        <v>144</v>
      </c>
      <c r="F98" s="7">
        <v>12</v>
      </c>
      <c r="J98" s="7"/>
      <c r="K98">
        <v>0.42475519028072134</v>
      </c>
      <c r="L98">
        <v>0.55328903872887369</v>
      </c>
      <c r="M98">
        <v>0.43080201790220513</v>
      </c>
      <c r="N98">
        <v>0.78589769636145368</v>
      </c>
      <c r="O98">
        <v>0.4085742564371892</v>
      </c>
      <c r="P98">
        <v>0.62906421951649361</v>
      </c>
      <c r="Q98">
        <v>0.39099935021923643</v>
      </c>
      <c r="R98">
        <v>0.64388272420135739</v>
      </c>
      <c r="S98">
        <v>0.43365222428917549</v>
      </c>
      <c r="T98">
        <v>0.61414717693185894</v>
      </c>
      <c r="U98">
        <v>0.43805878822151822</v>
      </c>
      <c r="V98">
        <v>0.55638485590109499</v>
      </c>
      <c r="W98">
        <v>0.44529133580244962</v>
      </c>
      <c r="X98">
        <v>0.61763808720822921</v>
      </c>
      <c r="Y98">
        <v>0.43075976883936279</v>
      </c>
      <c r="Z98">
        <v>0.49009063075877701</v>
      </c>
      <c r="AA98">
        <v>0.41079370202384596</v>
      </c>
      <c r="AB98">
        <v>0.5657728256762552</v>
      </c>
      <c r="AC98">
        <v>0.44373230966561861</v>
      </c>
      <c r="AD98">
        <v>0.51870941061850595</v>
      </c>
    </row>
    <row r="99" spans="1:30" x14ac:dyDescent="0.2">
      <c r="A99" s="2" t="s">
        <v>72</v>
      </c>
      <c r="B99">
        <v>1</v>
      </c>
      <c r="C99">
        <v>0</v>
      </c>
      <c r="D99">
        <f t="shared" si="1"/>
        <v>4748.1525000000001</v>
      </c>
      <c r="E99" s="8">
        <v>156</v>
      </c>
      <c r="F99" s="7">
        <v>13</v>
      </c>
      <c r="J99" s="7"/>
      <c r="K99">
        <v>0.44071663040201087</v>
      </c>
      <c r="L99">
        <v>0.50282745399430495</v>
      </c>
      <c r="M99">
        <v>0.41054239771051648</v>
      </c>
      <c r="N99">
        <v>0.75771673818944829</v>
      </c>
      <c r="O99">
        <v>0.40195439082152851</v>
      </c>
      <c r="P99">
        <v>0.59281598371441369</v>
      </c>
      <c r="Q99">
        <v>0.39945037555301216</v>
      </c>
      <c r="R99">
        <v>0.62536321441265574</v>
      </c>
      <c r="S99">
        <v>0.43984844977725457</v>
      </c>
      <c r="T99">
        <v>0.56888883780935628</v>
      </c>
      <c r="U99">
        <v>0.45985632485490724</v>
      </c>
      <c r="V99">
        <v>0.49226552128273821</v>
      </c>
      <c r="W99">
        <v>0.43664740173771743</v>
      </c>
      <c r="X99">
        <v>0.5828861838084094</v>
      </c>
      <c r="Y99">
        <v>0.45332407447642886</v>
      </c>
      <c r="Z99">
        <v>0.49946825248699617</v>
      </c>
      <c r="AA99">
        <v>0.41394472723890596</v>
      </c>
      <c r="AB99">
        <v>0.54293331336944572</v>
      </c>
      <c r="AC99">
        <v>0.465233057976155</v>
      </c>
      <c r="AD99">
        <v>0.48696186261860674</v>
      </c>
    </row>
    <row r="100" spans="1:30" x14ac:dyDescent="0.2">
      <c r="A100" s="2" t="s">
        <v>73</v>
      </c>
      <c r="B100">
        <v>1</v>
      </c>
      <c r="C100">
        <v>0</v>
      </c>
      <c r="D100">
        <f t="shared" si="1"/>
        <v>5113.3950000000004</v>
      </c>
      <c r="E100" s="8">
        <v>168</v>
      </c>
      <c r="F100" s="7">
        <v>14</v>
      </c>
      <c r="J100" s="7"/>
      <c r="K100">
        <v>0.43931014521857509</v>
      </c>
      <c r="L100">
        <v>0.55606805564636408</v>
      </c>
      <c r="M100">
        <v>0.45332642622936375</v>
      </c>
      <c r="N100">
        <v>0.72795434615214227</v>
      </c>
      <c r="O100">
        <v>0.43003348845053696</v>
      </c>
      <c r="P100">
        <v>0.56577735239968774</v>
      </c>
      <c r="Q100">
        <v>0.40671616664056931</v>
      </c>
      <c r="R100">
        <v>0.60798132401592209</v>
      </c>
      <c r="S100">
        <v>0.46357353769420806</v>
      </c>
      <c r="T100">
        <v>0.53146797625052067</v>
      </c>
      <c r="U100">
        <v>0.45765673149676822</v>
      </c>
      <c r="V100">
        <v>0.52258664666652366</v>
      </c>
      <c r="W100">
        <v>0.44226998411708057</v>
      </c>
      <c r="X100">
        <v>0.63454315519731619</v>
      </c>
      <c r="Y100">
        <v>0.44627367679751878</v>
      </c>
      <c r="Z100">
        <v>0.51984378707287004</v>
      </c>
      <c r="AA100">
        <v>0.42256726414900492</v>
      </c>
      <c r="AB100">
        <v>0.54253698303926612</v>
      </c>
      <c r="AC100">
        <v>0.50497233155073296</v>
      </c>
      <c r="AD100">
        <v>0.4412392642515427</v>
      </c>
    </row>
    <row r="101" spans="1:30" x14ac:dyDescent="0.2">
      <c r="A101" s="2" t="s">
        <v>74</v>
      </c>
      <c r="B101">
        <v>1</v>
      </c>
      <c r="C101">
        <v>0</v>
      </c>
      <c r="D101">
        <f t="shared" si="1"/>
        <v>7304.85</v>
      </c>
      <c r="E101" s="8">
        <v>240</v>
      </c>
      <c r="F101" s="7">
        <v>20</v>
      </c>
      <c r="J101" s="7"/>
      <c r="K101">
        <v>0.4151414304024878</v>
      </c>
      <c r="L101">
        <v>0.59826752406615324</v>
      </c>
      <c r="M101">
        <v>0.42650768920900833</v>
      </c>
      <c r="N101">
        <v>0.75859003424456151</v>
      </c>
      <c r="O101">
        <v>0.41948284007260578</v>
      </c>
      <c r="P101">
        <v>0.63676178028735719</v>
      </c>
      <c r="Q101">
        <v>0.38912847440202597</v>
      </c>
      <c r="R101">
        <v>0.62637681818560276</v>
      </c>
      <c r="S101">
        <v>0.43831344070182088</v>
      </c>
      <c r="T101">
        <v>0.59715383800849375</v>
      </c>
      <c r="U101">
        <v>0.45010925856599593</v>
      </c>
      <c r="V101">
        <v>0.51837120121719304</v>
      </c>
      <c r="W101">
        <v>0.43599308130345599</v>
      </c>
      <c r="X101">
        <v>0.59300818127260313</v>
      </c>
      <c r="Y101">
        <v>0.45171259755955956</v>
      </c>
      <c r="Z101">
        <v>0.54061092749720052</v>
      </c>
      <c r="AA101">
        <v>0.41219570375150383</v>
      </c>
      <c r="AB101">
        <v>0.55122404780547407</v>
      </c>
      <c r="AC101">
        <v>0.46252104892947621</v>
      </c>
      <c r="AD101">
        <v>0.50454168078076367</v>
      </c>
    </row>
    <row r="102" spans="1:30" x14ac:dyDescent="0.2">
      <c r="A102" t="s">
        <v>113</v>
      </c>
      <c r="B102">
        <v>1</v>
      </c>
      <c r="C102">
        <v>0</v>
      </c>
      <c r="D102">
        <f t="shared" si="1"/>
        <v>4839.4631250000002</v>
      </c>
      <c r="E102" s="7">
        <f t="shared" ref="E102:E106" si="4">F102*12</f>
        <v>159</v>
      </c>
      <c r="F102" s="7">
        <v>13.25</v>
      </c>
      <c r="J102" s="7"/>
      <c r="K102">
        <v>0.46310060780845452</v>
      </c>
      <c r="L102">
        <v>0.50006860180450041</v>
      </c>
      <c r="M102">
        <v>0.46806968031152812</v>
      </c>
      <c r="N102">
        <v>0.72528989966647117</v>
      </c>
      <c r="O102">
        <v>0.43418050102455902</v>
      </c>
      <c r="P102">
        <v>0.55001527033251107</v>
      </c>
      <c r="Q102">
        <v>0.40225143124319052</v>
      </c>
      <c r="R102">
        <v>0.62948418654121086</v>
      </c>
      <c r="S102">
        <v>0.46583593984728322</v>
      </c>
      <c r="T102">
        <v>0.54215312999846399</v>
      </c>
      <c r="U102">
        <v>0.47243792825916497</v>
      </c>
      <c r="V102">
        <v>0.46957766549765145</v>
      </c>
      <c r="W102">
        <v>0.46606727710215301</v>
      </c>
      <c r="X102">
        <v>0.57798708942148935</v>
      </c>
      <c r="Y102">
        <v>0.43554530242072109</v>
      </c>
      <c r="Z102">
        <v>0.50116926331753597</v>
      </c>
      <c r="AA102">
        <v>0.43159223940167613</v>
      </c>
      <c r="AB102">
        <v>0.55437257227514336</v>
      </c>
      <c r="AC102">
        <v>0.49604891472543644</v>
      </c>
      <c r="AD102">
        <v>0.43157568104180344</v>
      </c>
    </row>
    <row r="103" spans="1:30" x14ac:dyDescent="0.2">
      <c r="A103" t="s">
        <v>114</v>
      </c>
      <c r="B103">
        <v>1</v>
      </c>
      <c r="C103">
        <v>0</v>
      </c>
      <c r="D103">
        <f t="shared" si="1"/>
        <v>6635.2387500000123</v>
      </c>
      <c r="E103" s="7">
        <f t="shared" si="4"/>
        <v>218.0000000000004</v>
      </c>
      <c r="F103" s="7">
        <v>18.1666666666667</v>
      </c>
      <c r="J103" s="7"/>
      <c r="K103">
        <v>0.44161282505253074</v>
      </c>
      <c r="L103">
        <v>0.44473177140371228</v>
      </c>
      <c r="M103">
        <v>0.41814318404950751</v>
      </c>
      <c r="N103">
        <v>0.69960205719330704</v>
      </c>
      <c r="O103">
        <v>0.44340725827310745</v>
      </c>
      <c r="P103">
        <v>0.56771984268952136</v>
      </c>
      <c r="Q103">
        <v>0.39740772794951812</v>
      </c>
      <c r="R103">
        <v>0.59320055062826982</v>
      </c>
      <c r="S103">
        <v>0.46797974381790802</v>
      </c>
      <c r="T103">
        <v>0.49842907647017282</v>
      </c>
      <c r="U103">
        <v>0.46607649691470138</v>
      </c>
      <c r="V103">
        <v>0.47753672153648025</v>
      </c>
      <c r="W103">
        <v>0.46768916506496544</v>
      </c>
      <c r="X103">
        <v>0.53132450214869653</v>
      </c>
      <c r="Y103">
        <v>0.44551486375344707</v>
      </c>
      <c r="Z103">
        <v>0.49380215618116041</v>
      </c>
      <c r="AA103">
        <v>0.42603649228726131</v>
      </c>
      <c r="AB103">
        <v>0.49629741937405941</v>
      </c>
      <c r="AC103">
        <v>0.4948144612374864</v>
      </c>
      <c r="AD103">
        <v>0.41476207826941297</v>
      </c>
    </row>
    <row r="104" spans="1:30" x14ac:dyDescent="0.2">
      <c r="A104" t="s">
        <v>115</v>
      </c>
      <c r="B104">
        <v>1</v>
      </c>
      <c r="C104">
        <v>0</v>
      </c>
      <c r="D104">
        <f t="shared" si="1"/>
        <v>3561.1143750000001</v>
      </c>
      <c r="E104" s="7">
        <f t="shared" si="4"/>
        <v>117</v>
      </c>
      <c r="F104" s="7">
        <v>9.75</v>
      </c>
      <c r="J104" s="7"/>
      <c r="K104">
        <v>0.44623739942739754</v>
      </c>
      <c r="L104">
        <v>0.56298848667279955</v>
      </c>
      <c r="M104">
        <v>0.44043174984137889</v>
      </c>
      <c r="N104">
        <v>0.77523391664851016</v>
      </c>
      <c r="O104">
        <v>0.42930311784252739</v>
      </c>
      <c r="P104">
        <v>0.63222620751053371</v>
      </c>
      <c r="Q104">
        <v>0.40996467109743645</v>
      </c>
      <c r="R104">
        <v>0.63159090918379512</v>
      </c>
      <c r="S104">
        <v>0.4704495220542933</v>
      </c>
      <c r="T104">
        <v>0.57091922698769804</v>
      </c>
      <c r="U104">
        <v>0.47120740682129653</v>
      </c>
      <c r="V104">
        <v>0.51243301712587708</v>
      </c>
      <c r="W104">
        <v>0.46950149275216602</v>
      </c>
      <c r="X104">
        <v>0.56415271573566028</v>
      </c>
      <c r="Y104">
        <v>0.45218775220438945</v>
      </c>
      <c r="Z104">
        <v>0.55794387617481533</v>
      </c>
      <c r="AA104">
        <v>0.43772420128243461</v>
      </c>
      <c r="AB104">
        <v>0.56636942769074339</v>
      </c>
      <c r="AC104">
        <v>0.4936313893884029</v>
      </c>
      <c r="AD104">
        <v>0.49435549024440534</v>
      </c>
    </row>
    <row r="105" spans="1:30" x14ac:dyDescent="0.2">
      <c r="A105" s="2" t="s">
        <v>131</v>
      </c>
      <c r="B105">
        <v>1</v>
      </c>
      <c r="C105">
        <v>0</v>
      </c>
      <c r="D105">
        <f t="shared" si="1"/>
        <v>2313.2024999999999</v>
      </c>
      <c r="E105" s="7">
        <v>76</v>
      </c>
      <c r="F105" s="7">
        <f>(E105/12)</f>
        <v>6.333333333333333</v>
      </c>
      <c r="J105" s="7"/>
      <c r="K105">
        <v>0.46795422649241986</v>
      </c>
      <c r="L105">
        <v>0.4799311334760385</v>
      </c>
      <c r="M105">
        <v>0.41631312010524579</v>
      </c>
      <c r="N105">
        <v>0.7895909782301137</v>
      </c>
      <c r="O105">
        <v>0.43899988237253335</v>
      </c>
      <c r="P105">
        <v>0.61000105153581674</v>
      </c>
      <c r="Q105">
        <v>0.42128901295989707</v>
      </c>
      <c r="R105">
        <v>0.56699828081119352</v>
      </c>
      <c r="S105">
        <v>0.45881800393530742</v>
      </c>
      <c r="T105">
        <v>0.55003257004655237</v>
      </c>
      <c r="U105">
        <v>0.45692294360835967</v>
      </c>
      <c r="V105">
        <v>0.51158881739841511</v>
      </c>
      <c r="W105">
        <v>0.44998381577694618</v>
      </c>
      <c r="X105">
        <v>0.54016874874463305</v>
      </c>
      <c r="Y105">
        <v>0.46557764429180476</v>
      </c>
      <c r="Z105">
        <v>0.51174239355078499</v>
      </c>
      <c r="AA105">
        <v>0.43876897976415552</v>
      </c>
      <c r="AB105">
        <v>0.49498397782263448</v>
      </c>
      <c r="AC105">
        <v>0.48473268707363948</v>
      </c>
      <c r="AD105">
        <v>0.48416493856037868</v>
      </c>
    </row>
    <row r="106" spans="1:30" x14ac:dyDescent="0.2">
      <c r="A106" s="2" t="s">
        <v>116</v>
      </c>
      <c r="B106">
        <v>1</v>
      </c>
      <c r="C106">
        <v>0</v>
      </c>
      <c r="D106">
        <f t="shared" si="1"/>
        <v>2221.8918749999998</v>
      </c>
      <c r="E106" s="7">
        <f t="shared" si="4"/>
        <v>73</v>
      </c>
      <c r="F106" s="7">
        <f>73/12</f>
        <v>6.083333333333333</v>
      </c>
      <c r="J106" s="7"/>
      <c r="K106">
        <v>0.46688993436114112</v>
      </c>
      <c r="L106">
        <v>0.5240487682303544</v>
      </c>
      <c r="M106">
        <v>0.45927352760294626</v>
      </c>
      <c r="N106">
        <v>0.71983758300837686</v>
      </c>
      <c r="O106">
        <v>0.45163723199132316</v>
      </c>
      <c r="P106">
        <v>0.60767642911512909</v>
      </c>
      <c r="Q106">
        <v>0.42288531558791076</v>
      </c>
      <c r="R106">
        <v>0.583727694132127</v>
      </c>
      <c r="S106">
        <v>0.46377005019700207</v>
      </c>
      <c r="T106">
        <v>0.56093072879207095</v>
      </c>
      <c r="U106">
        <v>0.49471995661716212</v>
      </c>
      <c r="V106">
        <v>0.46554523250330987</v>
      </c>
      <c r="W106">
        <v>0.46373589995757569</v>
      </c>
      <c r="X106">
        <v>0.58823051804237148</v>
      </c>
      <c r="Y106">
        <v>0.47518064867791887</v>
      </c>
      <c r="Z106">
        <v>0.53083397885506367</v>
      </c>
      <c r="AA106">
        <v>0.44046233239460364</v>
      </c>
      <c r="AB106">
        <v>0.52583836305821896</v>
      </c>
      <c r="AC106">
        <v>0.50397861685331324</v>
      </c>
      <c r="AD106">
        <v>0.48159800968995353</v>
      </c>
    </row>
    <row r="107" spans="1:30" x14ac:dyDescent="0.2">
      <c r="A107" s="2" t="s">
        <v>75</v>
      </c>
      <c r="B107">
        <v>1</v>
      </c>
      <c r="C107">
        <v>0</v>
      </c>
      <c r="D107">
        <f t="shared" si="1"/>
        <v>4748.1525000000001</v>
      </c>
      <c r="E107" s="8">
        <v>156</v>
      </c>
      <c r="F107" s="7">
        <v>13</v>
      </c>
      <c r="J107" s="7"/>
      <c r="K107">
        <v>0.45152099078027003</v>
      </c>
      <c r="L107">
        <v>0.51510007743565012</v>
      </c>
      <c r="M107">
        <v>0.4376091957640259</v>
      </c>
      <c r="N107">
        <v>0.75158352807900086</v>
      </c>
      <c r="O107">
        <v>0.42307103564164156</v>
      </c>
      <c r="P107">
        <v>0.60998190094272053</v>
      </c>
      <c r="Q107">
        <v>0.39607012798970997</v>
      </c>
      <c r="R107">
        <v>0.62926038439074639</v>
      </c>
      <c r="S107">
        <v>0.45613688125990876</v>
      </c>
      <c r="T107">
        <v>0.54097542278037181</v>
      </c>
      <c r="U107">
        <v>0.45302591561776612</v>
      </c>
      <c r="V107">
        <v>0.50203992686578902</v>
      </c>
      <c r="W107">
        <v>0.44945433473384322</v>
      </c>
      <c r="X107">
        <v>0.56508749575545525</v>
      </c>
      <c r="Y107">
        <v>0.43312449133337577</v>
      </c>
      <c r="Z107">
        <v>0.45756285522863721</v>
      </c>
      <c r="AA107">
        <v>0.41600747736512844</v>
      </c>
      <c r="AB107">
        <v>0.51506324690131478</v>
      </c>
      <c r="AC107">
        <v>0.4748136151988378</v>
      </c>
      <c r="AD107">
        <v>0.47940891212027681</v>
      </c>
    </row>
    <row r="108" spans="1:30" x14ac:dyDescent="0.2">
      <c r="A108" t="s">
        <v>117</v>
      </c>
      <c r="B108">
        <v>1</v>
      </c>
      <c r="C108">
        <v>0</v>
      </c>
      <c r="D108">
        <f t="shared" si="1"/>
        <v>5082.9581250000119</v>
      </c>
      <c r="E108" s="7">
        <f t="shared" ref="E108:E109" si="5">F108*12</f>
        <v>167.0000000000004</v>
      </c>
      <c r="F108" s="7">
        <v>13.9166666666667</v>
      </c>
      <c r="J108" s="7"/>
      <c r="K108">
        <v>0.43631901616883806</v>
      </c>
      <c r="L108">
        <v>0.56249211666384857</v>
      </c>
      <c r="M108">
        <v>0.45374502554240326</v>
      </c>
      <c r="N108">
        <v>0.74086186218407912</v>
      </c>
      <c r="O108">
        <v>0.43441138792387657</v>
      </c>
      <c r="P108">
        <v>0.58930844395925086</v>
      </c>
      <c r="Q108">
        <v>0.40482520617859236</v>
      </c>
      <c r="R108">
        <v>0.61125250875301529</v>
      </c>
      <c r="S108">
        <v>0.45564601683240397</v>
      </c>
      <c r="T108">
        <v>0.5509335106685167</v>
      </c>
      <c r="U108">
        <v>0.44976735057041556</v>
      </c>
      <c r="V108">
        <v>0.54937851110430769</v>
      </c>
      <c r="W108">
        <v>0.45258386170919118</v>
      </c>
      <c r="X108">
        <v>0.59976915914318307</v>
      </c>
      <c r="Y108">
        <v>0.46212672914288355</v>
      </c>
      <c r="Z108">
        <v>0.52252031710721369</v>
      </c>
      <c r="AA108">
        <v>0.41073360930137393</v>
      </c>
      <c r="AB108">
        <v>0.58011021319304867</v>
      </c>
      <c r="AC108">
        <v>0.48977231222954476</v>
      </c>
      <c r="AD108">
        <v>0.47303710406684951</v>
      </c>
    </row>
    <row r="109" spans="1:30" x14ac:dyDescent="0.2">
      <c r="A109" s="6" t="s">
        <v>118</v>
      </c>
      <c r="B109">
        <v>1</v>
      </c>
      <c r="C109">
        <v>0</v>
      </c>
      <c r="D109">
        <f t="shared" si="1"/>
        <v>5052.521249999988</v>
      </c>
      <c r="E109" s="7">
        <f t="shared" si="5"/>
        <v>165.9999999999996</v>
      </c>
      <c r="F109" s="7">
        <v>13.8333333333333</v>
      </c>
      <c r="J109" s="7"/>
      <c r="K109">
        <v>0.44071488919480784</v>
      </c>
      <c r="L109">
        <v>0.51369492217661905</v>
      </c>
      <c r="M109">
        <v>0.46147193465368258</v>
      </c>
      <c r="N109">
        <v>0.69590695232563682</v>
      </c>
      <c r="O109">
        <v>0.42215361491000253</v>
      </c>
      <c r="P109">
        <v>0.61644394124641777</v>
      </c>
      <c r="Q109">
        <v>0.39330575108015076</v>
      </c>
      <c r="R109">
        <v>0.64326107912036268</v>
      </c>
      <c r="S109">
        <v>0.45244912013002747</v>
      </c>
      <c r="T109">
        <v>0.58093140662723886</v>
      </c>
      <c r="U109">
        <v>0.45400519319926869</v>
      </c>
      <c r="V109">
        <v>0.57617165552459915</v>
      </c>
      <c r="W109">
        <v>0.44861015320003056</v>
      </c>
      <c r="X109">
        <v>0.64184803174412541</v>
      </c>
      <c r="Y109">
        <v>0.4423734795365788</v>
      </c>
      <c r="Z109">
        <v>0.58290774013640001</v>
      </c>
      <c r="AA109">
        <v>0.41817950519985275</v>
      </c>
      <c r="AB109">
        <v>0.542003992524006</v>
      </c>
      <c r="AC109">
        <v>0.47306732941979907</v>
      </c>
      <c r="AD109">
        <v>0.49762927720518857</v>
      </c>
    </row>
    <row r="110" spans="1:30" x14ac:dyDescent="0.2">
      <c r="A110" s="2" t="s">
        <v>76</v>
      </c>
      <c r="B110">
        <v>1</v>
      </c>
      <c r="C110">
        <v>0</v>
      </c>
      <c r="D110">
        <f t="shared" si="1"/>
        <v>5843.88</v>
      </c>
      <c r="E110" s="8">
        <v>192</v>
      </c>
      <c r="F110" s="7">
        <v>16</v>
      </c>
      <c r="J110" s="7"/>
      <c r="K110">
        <v>0.43866714819524821</v>
      </c>
      <c r="L110">
        <v>0.50613839854007803</v>
      </c>
      <c r="M110">
        <v>0.42927886556491213</v>
      </c>
      <c r="N110">
        <v>0.6933142052948974</v>
      </c>
      <c r="O110">
        <v>0.4378058717549303</v>
      </c>
      <c r="P110">
        <v>0.53159274592443562</v>
      </c>
      <c r="Q110">
        <v>0.39453208575176468</v>
      </c>
      <c r="R110">
        <v>0.55282112476304934</v>
      </c>
      <c r="S110">
        <v>0.45073911279352286</v>
      </c>
      <c r="T110">
        <v>0.52340474888267585</v>
      </c>
      <c r="U110">
        <v>0.45796561715496809</v>
      </c>
      <c r="V110">
        <v>0.43986551012411879</v>
      </c>
      <c r="W110">
        <v>0.44157809086216704</v>
      </c>
      <c r="X110">
        <v>0.5566430504778499</v>
      </c>
      <c r="Y110">
        <v>0.46036013258282316</v>
      </c>
      <c r="Z110">
        <v>0.43264234567835291</v>
      </c>
      <c r="AA110">
        <v>0.42127164544124962</v>
      </c>
      <c r="AB110">
        <v>0.52836967576391369</v>
      </c>
      <c r="AC110">
        <v>0.48625224694813401</v>
      </c>
      <c r="AD110">
        <v>0.40335497765390826</v>
      </c>
    </row>
    <row r="111" spans="1:30" x14ac:dyDescent="0.2">
      <c r="A111" t="s">
        <v>119</v>
      </c>
      <c r="B111">
        <v>1</v>
      </c>
      <c r="C111">
        <v>0</v>
      </c>
      <c r="D111">
        <f t="shared" si="1"/>
        <v>2465.3868750000001</v>
      </c>
      <c r="E111" s="7">
        <f t="shared" ref="E111:E113" si="6">F111*12</f>
        <v>81</v>
      </c>
      <c r="F111" s="7">
        <f>81/12</f>
        <v>6.75</v>
      </c>
      <c r="J111" s="7"/>
      <c r="K111">
        <v>0.45915479972462692</v>
      </c>
      <c r="L111">
        <v>0.50042064471233372</v>
      </c>
      <c r="M111">
        <v>0.47242156766401988</v>
      </c>
      <c r="N111">
        <v>0.72382905579776968</v>
      </c>
      <c r="O111">
        <v>0.44031858959232456</v>
      </c>
      <c r="P111">
        <v>0.57204912539722341</v>
      </c>
      <c r="Q111">
        <v>0.43290228168008466</v>
      </c>
      <c r="R111">
        <v>0.56561592157827578</v>
      </c>
      <c r="S111">
        <v>0.4828919687338627</v>
      </c>
      <c r="T111">
        <v>0.52407645514255319</v>
      </c>
      <c r="U111">
        <v>0.50130397670985682</v>
      </c>
      <c r="V111">
        <v>0.47012677180916695</v>
      </c>
      <c r="W111">
        <v>0.48315079740961736</v>
      </c>
      <c r="X111">
        <v>0.52120228877517616</v>
      </c>
      <c r="Y111">
        <v>0.45897560255402209</v>
      </c>
      <c r="Z111">
        <v>0.47332015376474362</v>
      </c>
      <c r="AA111">
        <v>0.46510246726594684</v>
      </c>
      <c r="AB111">
        <v>0.49653470059921234</v>
      </c>
      <c r="AC111">
        <v>0.50693743169111172</v>
      </c>
      <c r="AD111">
        <v>0.4313616200157413</v>
      </c>
    </row>
    <row r="112" spans="1:30" x14ac:dyDescent="0.2">
      <c r="A112" t="s">
        <v>120</v>
      </c>
      <c r="B112">
        <v>1</v>
      </c>
      <c r="C112">
        <v>0</v>
      </c>
      <c r="D112">
        <f t="shared" si="1"/>
        <v>5691.6956249999876</v>
      </c>
      <c r="E112" s="7">
        <f t="shared" si="6"/>
        <v>186.9999999999996</v>
      </c>
      <c r="F112" s="7">
        <v>15.5833333333333</v>
      </c>
      <c r="J112" s="7"/>
      <c r="K112">
        <v>0.4405962219600057</v>
      </c>
      <c r="L112">
        <v>0.5306458953653248</v>
      </c>
      <c r="M112">
        <v>0.43082636967406984</v>
      </c>
      <c r="N112">
        <v>0.7491158452207114</v>
      </c>
      <c r="O112">
        <v>0.43260499351053133</v>
      </c>
      <c r="P112">
        <v>0.59302074146228856</v>
      </c>
      <c r="Q112">
        <v>0.39434046535170897</v>
      </c>
      <c r="R112">
        <v>0.62666741267084558</v>
      </c>
      <c r="S112">
        <v>0.44729092221638744</v>
      </c>
      <c r="T112">
        <v>0.56582716146905776</v>
      </c>
      <c r="U112">
        <v>0.45688725361836224</v>
      </c>
      <c r="V112">
        <v>0.53142519580460224</v>
      </c>
      <c r="W112">
        <v>0.44793211908781111</v>
      </c>
      <c r="X112">
        <v>0.5892500528783462</v>
      </c>
      <c r="Y112">
        <v>0.43194536043973253</v>
      </c>
      <c r="Z112">
        <v>0.5901755369356223</v>
      </c>
      <c r="AA112">
        <v>0.412426389666399</v>
      </c>
      <c r="AB112">
        <v>0.57032864918747872</v>
      </c>
      <c r="AC112">
        <v>0.48441195095572709</v>
      </c>
      <c r="AD112">
        <v>0.46920069996726826</v>
      </c>
    </row>
    <row r="113" spans="1:30" x14ac:dyDescent="0.2">
      <c r="A113" t="s">
        <v>121</v>
      </c>
      <c r="B113">
        <v>1</v>
      </c>
      <c r="C113">
        <v>0</v>
      </c>
      <c r="D113">
        <f t="shared" si="1"/>
        <v>5935.1906250000002</v>
      </c>
      <c r="E113" s="7">
        <f t="shared" si="6"/>
        <v>195</v>
      </c>
      <c r="F113" s="7">
        <v>16.25</v>
      </c>
      <c r="J113" s="7"/>
      <c r="K113">
        <v>0.43746905968275901</v>
      </c>
      <c r="L113">
        <v>0.52959121345078242</v>
      </c>
      <c r="M113">
        <v>0.41540878605430526</v>
      </c>
      <c r="N113">
        <v>0.75991545728173582</v>
      </c>
      <c r="O113">
        <v>0.43021808257839445</v>
      </c>
      <c r="P113">
        <v>0.60303580021196135</v>
      </c>
      <c r="Q113">
        <v>0.39496181783780099</v>
      </c>
      <c r="R113">
        <v>0.6210634507308086</v>
      </c>
      <c r="S113">
        <v>0.44678495246059563</v>
      </c>
      <c r="T113">
        <v>0.56180562287055413</v>
      </c>
      <c r="U113">
        <v>0.44720522461190859</v>
      </c>
      <c r="V113">
        <v>0.53738057781040482</v>
      </c>
      <c r="W113">
        <v>0.43759631036285357</v>
      </c>
      <c r="X113">
        <v>0.58367910903884013</v>
      </c>
      <c r="Y113">
        <v>0.43681234894255627</v>
      </c>
      <c r="Z113">
        <v>0.52115145182151856</v>
      </c>
      <c r="AA113">
        <v>0.41289196935537859</v>
      </c>
      <c r="AB113">
        <v>0.52486731782558693</v>
      </c>
      <c r="AC113">
        <v>0.46995621907048396</v>
      </c>
      <c r="AD113">
        <v>0.48602098317586578</v>
      </c>
    </row>
    <row r="114" spans="1:30" x14ac:dyDescent="0.2">
      <c r="A114" s="2" t="s">
        <v>77</v>
      </c>
      <c r="B114">
        <v>1</v>
      </c>
      <c r="C114">
        <v>0</v>
      </c>
      <c r="D114">
        <f t="shared" si="1"/>
        <v>6209.1225000000004</v>
      </c>
      <c r="E114" s="8">
        <v>204</v>
      </c>
      <c r="F114" s="7">
        <v>17</v>
      </c>
      <c r="J114" s="7"/>
      <c r="K114">
        <v>0.42282064283321474</v>
      </c>
      <c r="L114">
        <v>0.57905063306647631</v>
      </c>
      <c r="M114">
        <v>0.4233635374792355</v>
      </c>
      <c r="N114">
        <v>0.76955135267669916</v>
      </c>
      <c r="O114">
        <v>0.42028794244074624</v>
      </c>
      <c r="P114">
        <v>0.6514918172679609</v>
      </c>
      <c r="Q114">
        <v>0.39340695450093344</v>
      </c>
      <c r="R114">
        <v>0.62545186093245331</v>
      </c>
      <c r="S114">
        <v>0.43481839809729789</v>
      </c>
      <c r="T114">
        <v>0.58518136815724786</v>
      </c>
      <c r="U114">
        <v>0.43876678511460587</v>
      </c>
      <c r="V114">
        <v>0.55037400600475317</v>
      </c>
      <c r="W114">
        <v>0.43552554985295061</v>
      </c>
      <c r="X114">
        <v>0.59340350965832767</v>
      </c>
      <c r="Y114">
        <v>0.44882814880975747</v>
      </c>
      <c r="Z114">
        <v>0.53844408300623459</v>
      </c>
      <c r="AA114">
        <v>0.41028972624696491</v>
      </c>
      <c r="AB114">
        <v>0.57845260138237831</v>
      </c>
      <c r="AC114">
        <v>0.45589781303096866</v>
      </c>
      <c r="AD114">
        <v>0.49751518655058424</v>
      </c>
    </row>
    <row r="115" spans="1:30" x14ac:dyDescent="0.2">
      <c r="A115" s="2" t="s">
        <v>78</v>
      </c>
      <c r="B115">
        <v>1</v>
      </c>
      <c r="C115">
        <v>0</v>
      </c>
      <c r="D115">
        <f t="shared" si="1"/>
        <v>5478.6374999999998</v>
      </c>
      <c r="E115" s="8">
        <v>180</v>
      </c>
      <c r="F115" s="7">
        <v>15</v>
      </c>
      <c r="J115" s="7"/>
      <c r="K115">
        <v>0.44044725072060043</v>
      </c>
      <c r="L115">
        <v>0.53775565546839355</v>
      </c>
      <c r="M115">
        <v>0.4530797951394111</v>
      </c>
      <c r="N115">
        <v>0.72580908279194045</v>
      </c>
      <c r="O115">
        <v>0.41821523706791341</v>
      </c>
      <c r="P115">
        <v>0.60667528316255859</v>
      </c>
      <c r="Q115">
        <v>0.39574340150216769</v>
      </c>
      <c r="R115">
        <v>0.63221181763917778</v>
      </c>
      <c r="S115">
        <v>0.44708955647899362</v>
      </c>
      <c r="T115">
        <v>0.57382575193530883</v>
      </c>
      <c r="U115">
        <v>0.45079064718652823</v>
      </c>
      <c r="V115">
        <v>0.51673886439577155</v>
      </c>
      <c r="W115">
        <v>0.45335561998910662</v>
      </c>
      <c r="X115">
        <v>0.59408723182568746</v>
      </c>
      <c r="Y115">
        <v>0.4693635701414397</v>
      </c>
      <c r="Z115">
        <v>0.51405646589526177</v>
      </c>
      <c r="AA115">
        <v>0.41639194509604821</v>
      </c>
      <c r="AB115">
        <v>0.55981099345541674</v>
      </c>
      <c r="AC115">
        <v>0.47476574288994799</v>
      </c>
      <c r="AD115">
        <v>0.48402262904177434</v>
      </c>
    </row>
    <row r="116" spans="1:30" x14ac:dyDescent="0.2">
      <c r="A116" s="2" t="s">
        <v>79</v>
      </c>
      <c r="B116">
        <v>1</v>
      </c>
      <c r="C116">
        <v>0</v>
      </c>
      <c r="D116">
        <f t="shared" si="1"/>
        <v>3652.4250000000002</v>
      </c>
      <c r="E116" s="8">
        <v>120</v>
      </c>
      <c r="F116" s="7">
        <v>10</v>
      </c>
      <c r="J116" s="7"/>
      <c r="K116">
        <v>0.47826176806050069</v>
      </c>
      <c r="L116">
        <v>0.5014226025955979</v>
      </c>
      <c r="M116">
        <v>0.44772138677900541</v>
      </c>
      <c r="N116">
        <v>0.72963333620456794</v>
      </c>
      <c r="O116">
        <v>0.45418950722330764</v>
      </c>
      <c r="P116">
        <v>0.59022723846268599</v>
      </c>
      <c r="Q116">
        <v>0.42256442094397711</v>
      </c>
      <c r="R116">
        <v>0.59460955940309801</v>
      </c>
      <c r="S116">
        <v>0.47954444397805496</v>
      </c>
      <c r="T116">
        <v>0.52875687979661379</v>
      </c>
      <c r="U116">
        <v>0.48643262655382796</v>
      </c>
      <c r="V116">
        <v>0.5075913425471773</v>
      </c>
      <c r="W116">
        <v>0.46632536370121641</v>
      </c>
      <c r="X116">
        <v>0.57272446814646694</v>
      </c>
      <c r="Y116">
        <v>0.47957078729253605</v>
      </c>
      <c r="Z116">
        <v>0.5493063560497482</v>
      </c>
      <c r="AA116">
        <v>0.439925412990406</v>
      </c>
      <c r="AB116">
        <v>0.53376583602888938</v>
      </c>
      <c r="AC116">
        <v>0.4929596037748592</v>
      </c>
      <c r="AD116">
        <v>0.48707790704814008</v>
      </c>
    </row>
    <row r="117" spans="1:30" x14ac:dyDescent="0.2">
      <c r="A117" t="s">
        <v>122</v>
      </c>
      <c r="B117">
        <v>1</v>
      </c>
      <c r="C117">
        <v>0</v>
      </c>
      <c r="D117">
        <f t="shared" si="1"/>
        <v>3926.3568749999999</v>
      </c>
      <c r="E117" s="7">
        <f t="shared" ref="E117:E119" si="7">F117*12</f>
        <v>129</v>
      </c>
      <c r="F117" s="7">
        <v>10.75</v>
      </c>
      <c r="J117" s="7"/>
      <c r="K117">
        <v>0.41391814174406322</v>
      </c>
      <c r="L117">
        <v>0.54878742161626448</v>
      </c>
      <c r="M117">
        <v>0.42983888759078787</v>
      </c>
      <c r="N117">
        <v>0.72956059328633671</v>
      </c>
      <c r="O117">
        <v>0.395521040988566</v>
      </c>
      <c r="P117">
        <v>0.63459621361627849</v>
      </c>
      <c r="Q117">
        <v>0.38870634827410555</v>
      </c>
      <c r="R117">
        <v>0.62222066598866566</v>
      </c>
      <c r="S117">
        <v>0.44701362591070148</v>
      </c>
      <c r="T117">
        <v>0.53987608529588005</v>
      </c>
      <c r="U117">
        <v>0.45055349142353024</v>
      </c>
      <c r="V117">
        <v>0.50256926823355985</v>
      </c>
      <c r="W117">
        <v>0.43813125281909382</v>
      </c>
      <c r="X117">
        <v>0.57806274653607947</v>
      </c>
      <c r="Y117">
        <v>0.44178256876419564</v>
      </c>
      <c r="Z117">
        <v>0.5231703870390747</v>
      </c>
      <c r="AA117">
        <v>0.40762315345118427</v>
      </c>
      <c r="AB117">
        <v>0.54426040595395864</v>
      </c>
      <c r="AC117">
        <v>0.45131809507725995</v>
      </c>
      <c r="AD117">
        <v>0.49447315439375161</v>
      </c>
    </row>
    <row r="118" spans="1:30" x14ac:dyDescent="0.2">
      <c r="A118" t="s">
        <v>123</v>
      </c>
      <c r="B118">
        <v>1</v>
      </c>
      <c r="C118">
        <v>0</v>
      </c>
      <c r="D118">
        <f t="shared" si="1"/>
        <v>3134.9981249999992</v>
      </c>
      <c r="E118" s="7">
        <f t="shared" si="7"/>
        <v>102.99999999999997</v>
      </c>
      <c r="F118" s="7">
        <v>8.5833333333333304</v>
      </c>
      <c r="J118" s="7"/>
      <c r="K118">
        <v>0.4474480010095</v>
      </c>
      <c r="L118">
        <v>0.51619193910826688</v>
      </c>
      <c r="M118">
        <v>0.45482301201001513</v>
      </c>
      <c r="N118">
        <v>0.75584763815615008</v>
      </c>
      <c r="O118">
        <v>0.43667407704849792</v>
      </c>
      <c r="P118">
        <v>0.61351584521505265</v>
      </c>
      <c r="Q118">
        <v>0.4161983275502138</v>
      </c>
      <c r="R118">
        <v>0.60623120099170236</v>
      </c>
      <c r="S118">
        <v>0.46206078681142904</v>
      </c>
      <c r="T118">
        <v>0.56537181544131188</v>
      </c>
      <c r="U118">
        <v>0.46319172618238447</v>
      </c>
      <c r="V118">
        <v>0.51905895316936335</v>
      </c>
      <c r="W118">
        <v>0.46047215785050843</v>
      </c>
      <c r="X118">
        <v>0.62201522037186474</v>
      </c>
      <c r="Y118">
        <v>0.44217504497084048</v>
      </c>
      <c r="Z118">
        <v>0.55282410862451958</v>
      </c>
      <c r="AA118">
        <v>0.4344421598155635</v>
      </c>
      <c r="AB118">
        <v>0.53147393423792821</v>
      </c>
      <c r="AC118">
        <v>0.50021997192291978</v>
      </c>
      <c r="AD118">
        <v>0.46293007219158688</v>
      </c>
    </row>
    <row r="119" spans="1:30" x14ac:dyDescent="0.2">
      <c r="A119" t="s">
        <v>124</v>
      </c>
      <c r="B119">
        <v>1</v>
      </c>
      <c r="C119">
        <v>0</v>
      </c>
      <c r="D119">
        <f t="shared" si="1"/>
        <v>5326.4531249999882</v>
      </c>
      <c r="E119" s="7">
        <f t="shared" si="7"/>
        <v>174.9999999999996</v>
      </c>
      <c r="F119" s="7">
        <v>14.5833333333333</v>
      </c>
      <c r="J119" s="7"/>
      <c r="K119">
        <v>0.41810744237267805</v>
      </c>
      <c r="L119">
        <v>0.6000393892262883</v>
      </c>
      <c r="M119">
        <v>0.43098584413903895</v>
      </c>
      <c r="N119">
        <v>0.75735262620440735</v>
      </c>
      <c r="O119">
        <v>0.41098443864131856</v>
      </c>
      <c r="P119">
        <v>0.65410360051736882</v>
      </c>
      <c r="Q119">
        <v>0.39148481361749587</v>
      </c>
      <c r="R119">
        <v>0.61324704854624434</v>
      </c>
      <c r="S119">
        <v>0.43481577455576426</v>
      </c>
      <c r="T119">
        <v>0.5965958848629328</v>
      </c>
      <c r="U119">
        <v>0.44601869227618202</v>
      </c>
      <c r="V119">
        <v>0.53864771691789859</v>
      </c>
      <c r="W119">
        <v>0.42571188374113084</v>
      </c>
      <c r="X119">
        <v>0.60697760522459132</v>
      </c>
      <c r="Y119">
        <v>0.43581908323998242</v>
      </c>
      <c r="Z119">
        <v>0.58322188021257415</v>
      </c>
      <c r="AA119">
        <v>0.41714790878618996</v>
      </c>
      <c r="AB119">
        <v>0.56400210739124057</v>
      </c>
      <c r="AC119">
        <v>0.46090322822779439</v>
      </c>
      <c r="AD119">
        <v>0.4983957219381342</v>
      </c>
    </row>
    <row r="120" spans="1:30" x14ac:dyDescent="0.2">
      <c r="A120" s="2" t="s">
        <v>80</v>
      </c>
      <c r="B120">
        <v>1</v>
      </c>
      <c r="C120">
        <v>0</v>
      </c>
      <c r="D120">
        <f t="shared" si="1"/>
        <v>5113.3950000000004</v>
      </c>
      <c r="E120" s="8">
        <v>168</v>
      </c>
      <c r="F120" s="7">
        <v>14</v>
      </c>
      <c r="J120" s="7"/>
      <c r="K120">
        <v>0.41264012442982878</v>
      </c>
      <c r="L120">
        <v>0.56395856244137854</v>
      </c>
      <c r="M120">
        <v>0.43439581730491572</v>
      </c>
      <c r="N120">
        <v>0.7055811909019748</v>
      </c>
      <c r="O120">
        <v>0.40941270817965625</v>
      </c>
      <c r="P120">
        <v>0.61234164894362098</v>
      </c>
      <c r="Q120">
        <v>0.37746471802417358</v>
      </c>
      <c r="R120">
        <v>0.6223660060791979</v>
      </c>
      <c r="S120">
        <v>0.41337441213380199</v>
      </c>
      <c r="T120">
        <v>0.61885996988046144</v>
      </c>
      <c r="U120">
        <v>0.41851815906270379</v>
      </c>
      <c r="V120">
        <v>0.53237568093271548</v>
      </c>
      <c r="W120">
        <v>0.42004675650329915</v>
      </c>
      <c r="X120">
        <v>0.61640433829973795</v>
      </c>
      <c r="Y120">
        <v>0.40811493443568636</v>
      </c>
      <c r="Z120">
        <v>0.52963128487183464</v>
      </c>
      <c r="AA120">
        <v>0.38766694767210058</v>
      </c>
      <c r="AB120">
        <v>0.58056660176102026</v>
      </c>
      <c r="AC120">
        <v>0.45251567211309363</v>
      </c>
      <c r="AD120">
        <v>0.50262341429577728</v>
      </c>
    </row>
    <row r="121" spans="1:30" x14ac:dyDescent="0.2">
      <c r="A121" s="2" t="s">
        <v>81</v>
      </c>
      <c r="B121">
        <v>1</v>
      </c>
      <c r="C121">
        <v>0</v>
      </c>
      <c r="D121">
        <f t="shared" si="1"/>
        <v>3287.1824999999999</v>
      </c>
      <c r="E121" s="8">
        <v>108</v>
      </c>
      <c r="F121" s="7">
        <v>9</v>
      </c>
      <c r="J121" s="7"/>
      <c r="K121">
        <v>0.45939715911782669</v>
      </c>
      <c r="L121">
        <v>0.48919965705627072</v>
      </c>
      <c r="M121">
        <v>0.45799287319302479</v>
      </c>
      <c r="N121">
        <v>0.70142861491169284</v>
      </c>
      <c r="O121">
        <v>0.4331901365690668</v>
      </c>
      <c r="P121">
        <v>0.56258190102663486</v>
      </c>
      <c r="Q121">
        <v>0.41261990020734796</v>
      </c>
      <c r="R121">
        <v>0.60928481033729587</v>
      </c>
      <c r="S121">
        <v>0.46985361115904822</v>
      </c>
      <c r="T121">
        <v>0.5254556625510971</v>
      </c>
      <c r="U121">
        <v>0.48797612089299786</v>
      </c>
      <c r="V121">
        <v>0.4880635875397038</v>
      </c>
      <c r="W121">
        <v>0.49260802440711726</v>
      </c>
      <c r="X121">
        <v>0.54349119341660312</v>
      </c>
      <c r="Y121">
        <v>0.45621321702596918</v>
      </c>
      <c r="Z121">
        <v>0.52503871722089235</v>
      </c>
      <c r="AA121">
        <v>0.44415661479178981</v>
      </c>
      <c r="AB121">
        <v>0.47939532709955718</v>
      </c>
      <c r="AC121">
        <v>0.49736329925238809</v>
      </c>
      <c r="AD121">
        <v>0.43241280311432578</v>
      </c>
    </row>
    <row r="122" spans="1:30" x14ac:dyDescent="0.2">
      <c r="A122" s="2" t="s">
        <v>82</v>
      </c>
      <c r="B122">
        <v>1</v>
      </c>
      <c r="C122">
        <v>0</v>
      </c>
      <c r="D122">
        <f t="shared" si="1"/>
        <v>4382.91</v>
      </c>
      <c r="E122" s="8">
        <v>144</v>
      </c>
      <c r="F122" s="7">
        <v>12</v>
      </c>
      <c r="J122" s="7"/>
      <c r="K122">
        <v>0.4418142712093367</v>
      </c>
      <c r="L122">
        <v>0.53613126866847938</v>
      </c>
      <c r="M122">
        <v>0.45254552881859522</v>
      </c>
      <c r="N122">
        <v>0.72576039208622833</v>
      </c>
      <c r="O122">
        <v>0.44404410401056477</v>
      </c>
      <c r="P122">
        <v>0.5977983688468318</v>
      </c>
      <c r="Q122">
        <v>0.40453017326881235</v>
      </c>
      <c r="R122">
        <v>0.59976278404671168</v>
      </c>
      <c r="S122">
        <v>0.45759304242146548</v>
      </c>
      <c r="T122">
        <v>0.55301033092991114</v>
      </c>
      <c r="U122">
        <v>0.46788761976236637</v>
      </c>
      <c r="V122">
        <v>0.50482482252607375</v>
      </c>
      <c r="W122">
        <v>0.47118029864577765</v>
      </c>
      <c r="X122">
        <v>0.57406821346358472</v>
      </c>
      <c r="Y122">
        <v>0.45060672898320792</v>
      </c>
      <c r="Z122">
        <v>0.53762779739509226</v>
      </c>
      <c r="AA122">
        <v>0.42962198294634196</v>
      </c>
      <c r="AB122">
        <v>0.52921839379708024</v>
      </c>
      <c r="AC122">
        <v>0.48829396587128582</v>
      </c>
      <c r="AD122">
        <v>0.47584170368024098</v>
      </c>
    </row>
    <row r="123" spans="1:30" x14ac:dyDescent="0.2">
      <c r="A123" s="2" t="s">
        <v>83</v>
      </c>
      <c r="B123">
        <v>1</v>
      </c>
      <c r="C123">
        <v>0</v>
      </c>
      <c r="D123">
        <f t="shared" si="1"/>
        <v>5113.3950000000004</v>
      </c>
      <c r="E123" s="8">
        <v>168</v>
      </c>
      <c r="F123" s="7">
        <v>14</v>
      </c>
      <c r="J123" s="7"/>
      <c r="K123">
        <v>0.4360161245058734</v>
      </c>
      <c r="L123">
        <v>0.53940164180681494</v>
      </c>
      <c r="M123">
        <v>0.45029719957798608</v>
      </c>
      <c r="N123">
        <v>0.72155087393597772</v>
      </c>
      <c r="O123">
        <v>0.39974886402998011</v>
      </c>
      <c r="P123">
        <v>0.58787639443599216</v>
      </c>
      <c r="Q123">
        <v>0.38879048296842261</v>
      </c>
      <c r="R123">
        <v>0.61200422252536746</v>
      </c>
      <c r="S123">
        <v>0.45081521365648991</v>
      </c>
      <c r="T123">
        <v>0.57483463294008064</v>
      </c>
      <c r="U123">
        <v>0.45857309269654278</v>
      </c>
      <c r="V123">
        <v>0.54214479356142387</v>
      </c>
      <c r="W123">
        <v>0.45578919007546209</v>
      </c>
      <c r="X123">
        <v>0.58928446699146408</v>
      </c>
      <c r="Y123">
        <v>0.43680211388654666</v>
      </c>
      <c r="Z123">
        <v>0.530062287419238</v>
      </c>
      <c r="AA123">
        <v>0.41349997577100162</v>
      </c>
      <c r="AB123">
        <v>0.53532495359419285</v>
      </c>
      <c r="AC123">
        <v>0.46191087568781974</v>
      </c>
      <c r="AD123">
        <v>0.46884225334139096</v>
      </c>
    </row>
    <row r="124" spans="1:30" x14ac:dyDescent="0.2">
      <c r="A124" s="2" t="s">
        <v>84</v>
      </c>
      <c r="B124">
        <v>1</v>
      </c>
      <c r="C124">
        <v>0</v>
      </c>
      <c r="D124">
        <f t="shared" si="1"/>
        <v>4382.91</v>
      </c>
      <c r="E124" s="8">
        <v>144</v>
      </c>
      <c r="F124" s="7">
        <v>12</v>
      </c>
      <c r="J124" s="7"/>
      <c r="K124">
        <v>0.43335374134603066</v>
      </c>
      <c r="L124">
        <v>0.56093345019050589</v>
      </c>
      <c r="M124">
        <v>0.44262765373928198</v>
      </c>
      <c r="N124">
        <v>0.71687019635142257</v>
      </c>
      <c r="O124">
        <v>0.41576621082342335</v>
      </c>
      <c r="P124">
        <v>0.60776671328706966</v>
      </c>
      <c r="Q124">
        <v>0.3989888316743318</v>
      </c>
      <c r="R124">
        <v>0.62770348732883485</v>
      </c>
      <c r="S124">
        <v>0.45713446075589648</v>
      </c>
      <c r="T124">
        <v>0.55682868769315519</v>
      </c>
      <c r="U124">
        <v>0.46309021080165536</v>
      </c>
      <c r="V124">
        <v>0.50329888345718166</v>
      </c>
      <c r="W124">
        <v>0.45099233051128412</v>
      </c>
      <c r="X124">
        <v>0.58386642566981617</v>
      </c>
      <c r="Y124">
        <v>0.47419437220324595</v>
      </c>
      <c r="Z124">
        <v>0.48020748921380496</v>
      </c>
      <c r="AA124">
        <v>0.41915487899518372</v>
      </c>
      <c r="AB124">
        <v>0.5199367592148525</v>
      </c>
      <c r="AC124">
        <v>0.46919865902422908</v>
      </c>
      <c r="AD124">
        <v>0.49640355400494479</v>
      </c>
    </row>
    <row r="125" spans="1:30" x14ac:dyDescent="0.2">
      <c r="A125" s="2" t="s">
        <v>85</v>
      </c>
      <c r="B125">
        <v>1</v>
      </c>
      <c r="C125">
        <v>0</v>
      </c>
      <c r="D125">
        <f t="shared" si="1"/>
        <v>5113.3950000000004</v>
      </c>
      <c r="E125" s="8">
        <v>168</v>
      </c>
      <c r="F125" s="7">
        <v>14</v>
      </c>
      <c r="J125" s="7"/>
      <c r="K125">
        <v>0.45556368059562413</v>
      </c>
      <c r="L125">
        <v>0.54869391964751935</v>
      </c>
      <c r="M125">
        <v>0.42209939716100153</v>
      </c>
      <c r="N125">
        <v>0.75890986174333386</v>
      </c>
      <c r="O125">
        <v>0.43976751536121822</v>
      </c>
      <c r="P125">
        <v>0.56893262489447527</v>
      </c>
      <c r="Q125">
        <v>0.41149258482300838</v>
      </c>
      <c r="R125">
        <v>0.59849753590104249</v>
      </c>
      <c r="S125">
        <v>0.46181446806866167</v>
      </c>
      <c r="T125">
        <v>0.53690880646890482</v>
      </c>
      <c r="U125">
        <v>0.46659881784586094</v>
      </c>
      <c r="V125">
        <v>0.5250657869390537</v>
      </c>
      <c r="W125">
        <v>0.45719431630847956</v>
      </c>
      <c r="X125">
        <v>0.55446286161374048</v>
      </c>
      <c r="Y125">
        <v>0.44991327495066152</v>
      </c>
      <c r="Z125">
        <v>0.54975939232085225</v>
      </c>
      <c r="AA125">
        <v>0.42947240230232009</v>
      </c>
      <c r="AB125">
        <v>0.51941683417851758</v>
      </c>
      <c r="AC125">
        <v>0.48737028664982524</v>
      </c>
      <c r="AD125">
        <v>0.45944384419663098</v>
      </c>
    </row>
    <row r="126" spans="1:30" x14ac:dyDescent="0.2">
      <c r="A126" t="s">
        <v>125</v>
      </c>
      <c r="B126">
        <v>1</v>
      </c>
      <c r="C126">
        <v>0</v>
      </c>
      <c r="D126">
        <f t="shared" ref="D126:D140" si="8">F126*365.2425</f>
        <v>6726.5493750000005</v>
      </c>
      <c r="E126" s="7">
        <f t="shared" ref="E126:E128" si="9">F126*12</f>
        <v>221</v>
      </c>
      <c r="F126" s="7">
        <f>221/12</f>
        <v>18.416666666666668</v>
      </c>
      <c r="J126" s="7"/>
      <c r="K126">
        <v>0.42362162600024539</v>
      </c>
      <c r="L126">
        <v>0.55312412003283273</v>
      </c>
      <c r="M126">
        <v>0.41275659810200338</v>
      </c>
      <c r="N126">
        <v>0.74631035563289272</v>
      </c>
      <c r="O126">
        <v>0.40562223999670105</v>
      </c>
      <c r="P126">
        <v>0.57233527971711284</v>
      </c>
      <c r="Q126">
        <v>0.36520453337638881</v>
      </c>
      <c r="R126">
        <v>0.62718980350130493</v>
      </c>
      <c r="S126">
        <v>0.4383847925397526</v>
      </c>
      <c r="T126">
        <v>0.5439835258094452</v>
      </c>
      <c r="U126">
        <v>0.43901825946921236</v>
      </c>
      <c r="V126">
        <v>0.54348442704145006</v>
      </c>
      <c r="W126">
        <v>0.44022209609989787</v>
      </c>
      <c r="X126">
        <v>0.57880115861604509</v>
      </c>
      <c r="Y126">
        <v>0.41124423444484803</v>
      </c>
      <c r="Z126">
        <v>0.42195652072701179</v>
      </c>
      <c r="AA126">
        <v>0.41393909228669834</v>
      </c>
      <c r="AB126">
        <v>0.51905451682140125</v>
      </c>
      <c r="AC126">
        <v>0.46956557675814448</v>
      </c>
      <c r="AD126">
        <v>0.44225747351799105</v>
      </c>
    </row>
    <row r="127" spans="1:30" x14ac:dyDescent="0.2">
      <c r="A127" t="s">
        <v>126</v>
      </c>
      <c r="B127">
        <v>1</v>
      </c>
      <c r="C127">
        <v>0</v>
      </c>
      <c r="D127">
        <f t="shared" si="8"/>
        <v>5752.569375</v>
      </c>
      <c r="E127" s="7">
        <f t="shared" si="9"/>
        <v>189</v>
      </c>
      <c r="F127" s="7">
        <v>15.75</v>
      </c>
      <c r="J127" s="7"/>
      <c r="K127">
        <v>0.42823878514251962</v>
      </c>
      <c r="L127">
        <v>0.53845942809463954</v>
      </c>
      <c r="M127">
        <v>0.43025764743457773</v>
      </c>
      <c r="N127">
        <v>0.73265441147315458</v>
      </c>
      <c r="O127">
        <v>0.42996597511405044</v>
      </c>
      <c r="P127">
        <v>0.58821047711689933</v>
      </c>
      <c r="Q127">
        <v>0.39352825233965316</v>
      </c>
      <c r="R127">
        <v>0.60931615476798417</v>
      </c>
      <c r="S127">
        <v>0.45191922745530161</v>
      </c>
      <c r="T127">
        <v>0.53856140295663257</v>
      </c>
      <c r="U127">
        <v>0.45376669810443915</v>
      </c>
      <c r="V127">
        <v>0.51595703762333611</v>
      </c>
      <c r="W127">
        <v>0.45304028996142803</v>
      </c>
      <c r="X127">
        <v>0.57636043556202288</v>
      </c>
      <c r="Y127">
        <v>0.44288532990573753</v>
      </c>
      <c r="Z127">
        <v>0.43057088766948315</v>
      </c>
      <c r="AA127">
        <v>0.41598183752222334</v>
      </c>
      <c r="AB127">
        <v>0.53510067817370977</v>
      </c>
      <c r="AC127">
        <v>0.46240802293490341</v>
      </c>
      <c r="AD127">
        <v>0.46197604940635328</v>
      </c>
    </row>
    <row r="128" spans="1:30" x14ac:dyDescent="0.2">
      <c r="A128" t="s">
        <v>127</v>
      </c>
      <c r="B128">
        <v>1</v>
      </c>
      <c r="C128">
        <v>0</v>
      </c>
      <c r="D128">
        <f t="shared" si="8"/>
        <v>3104.5612500000002</v>
      </c>
      <c r="E128" s="7">
        <f t="shared" si="9"/>
        <v>102</v>
      </c>
      <c r="F128" s="7">
        <v>8.5</v>
      </c>
      <c r="J128" s="7"/>
      <c r="K128">
        <v>0.46843066511351256</v>
      </c>
      <c r="L128">
        <v>0.51601218364984036</v>
      </c>
      <c r="M128">
        <v>0.44849734459252633</v>
      </c>
      <c r="N128">
        <v>0.75902360291556659</v>
      </c>
      <c r="O128">
        <v>0.44343352203710501</v>
      </c>
      <c r="P128">
        <v>0.61917526118636035</v>
      </c>
      <c r="Q128">
        <v>0.40947374441890105</v>
      </c>
      <c r="R128">
        <v>0.64168556660317644</v>
      </c>
      <c r="S128">
        <v>0.4814200159381789</v>
      </c>
      <c r="T128">
        <v>0.53920555396912528</v>
      </c>
      <c r="U128">
        <v>0.49222718561299006</v>
      </c>
      <c r="V128">
        <v>0.50337731360122151</v>
      </c>
      <c r="W128">
        <v>0.46124385297352921</v>
      </c>
      <c r="X128">
        <v>0.63473594160730562</v>
      </c>
      <c r="Y128">
        <v>0.48118456579033869</v>
      </c>
      <c r="Z128">
        <v>0.54012962059498015</v>
      </c>
      <c r="AA128">
        <v>0.43805861877721081</v>
      </c>
      <c r="AB128">
        <v>0.54204971943867108</v>
      </c>
      <c r="AC128">
        <v>0.50924928773360378</v>
      </c>
      <c r="AD128">
        <v>0.44977895594776773</v>
      </c>
    </row>
    <row r="129" spans="1:30" x14ac:dyDescent="0.2">
      <c r="A129" s="2" t="s">
        <v>86</v>
      </c>
      <c r="B129">
        <v>1</v>
      </c>
      <c r="C129">
        <v>0</v>
      </c>
      <c r="D129">
        <f t="shared" si="8"/>
        <v>3652.4250000000002</v>
      </c>
      <c r="E129" s="8">
        <v>120</v>
      </c>
      <c r="F129" s="7">
        <v>10</v>
      </c>
      <c r="J129" s="7"/>
      <c r="K129">
        <v>0.45173266419483182</v>
      </c>
      <c r="L129">
        <v>0.59438109266851524</v>
      </c>
      <c r="M129">
        <v>0.43648158116027308</v>
      </c>
      <c r="N129">
        <v>0.74563975604994559</v>
      </c>
      <c r="O129">
        <v>0.44213913149073808</v>
      </c>
      <c r="P129">
        <v>0.60588959626272176</v>
      </c>
      <c r="Q129">
        <v>0.41570375576702034</v>
      </c>
      <c r="R129">
        <v>0.61705856364334577</v>
      </c>
      <c r="S129">
        <v>0.44916427962713518</v>
      </c>
      <c r="T129">
        <v>0.5822326551389283</v>
      </c>
      <c r="U129">
        <v>0.45374521990187944</v>
      </c>
      <c r="V129">
        <v>0.50090475673383072</v>
      </c>
      <c r="W129">
        <v>0.45307242060104169</v>
      </c>
      <c r="X129">
        <v>0.55990716748784186</v>
      </c>
      <c r="Y129">
        <v>0.4595172667496647</v>
      </c>
      <c r="Z129">
        <v>0.53194356117249308</v>
      </c>
      <c r="AA129">
        <v>0.428402118349754</v>
      </c>
      <c r="AB129">
        <v>0.54337098757871383</v>
      </c>
      <c r="AC129">
        <v>0.47194138585146889</v>
      </c>
      <c r="AD129">
        <v>0.50242076990485152</v>
      </c>
    </row>
    <row r="130" spans="1:30" x14ac:dyDescent="0.2">
      <c r="A130" s="2" t="s">
        <v>87</v>
      </c>
      <c r="B130">
        <v>1</v>
      </c>
      <c r="C130">
        <v>0</v>
      </c>
      <c r="D130">
        <f t="shared" si="8"/>
        <v>5843.88</v>
      </c>
      <c r="E130" s="8">
        <v>192</v>
      </c>
      <c r="F130" s="7">
        <v>16</v>
      </c>
      <c r="J130" s="7"/>
      <c r="K130">
        <v>0.42553400453508089</v>
      </c>
      <c r="L130">
        <v>0.53231722204219856</v>
      </c>
      <c r="M130">
        <v>0.43364699929927342</v>
      </c>
      <c r="N130">
        <v>0.77085619802390115</v>
      </c>
      <c r="O130">
        <v>0.40756804811510544</v>
      </c>
      <c r="P130">
        <v>0.59353486614883144</v>
      </c>
      <c r="Q130">
        <v>0.38124032049377188</v>
      </c>
      <c r="R130">
        <v>0.62465707805958171</v>
      </c>
      <c r="S130">
        <v>0.43837786879135321</v>
      </c>
      <c r="T130">
        <v>0.57667218654531582</v>
      </c>
      <c r="U130">
        <v>0.43424298720947674</v>
      </c>
      <c r="V130">
        <v>0.55630986290536488</v>
      </c>
      <c r="W130">
        <v>0.43653710853145622</v>
      </c>
      <c r="X130">
        <v>0.63066364208354952</v>
      </c>
      <c r="Y130">
        <v>0.41070145258767787</v>
      </c>
      <c r="Z130">
        <v>0.51331446245741674</v>
      </c>
      <c r="AA130">
        <v>0.39985200195655463</v>
      </c>
      <c r="AB130">
        <v>0.57731375362553661</v>
      </c>
      <c r="AC130">
        <v>0.46352989672157935</v>
      </c>
      <c r="AD130">
        <v>0.46204639493804328</v>
      </c>
    </row>
    <row r="131" spans="1:30" x14ac:dyDescent="0.2">
      <c r="A131" t="s">
        <v>128</v>
      </c>
      <c r="B131">
        <v>1</v>
      </c>
      <c r="C131">
        <v>0</v>
      </c>
      <c r="D131">
        <f t="shared" si="8"/>
        <v>2769.7556249999998</v>
      </c>
      <c r="E131" s="7">
        <f>F131*12</f>
        <v>91</v>
      </c>
      <c r="F131" s="7">
        <f>91/12</f>
        <v>7.583333333333333</v>
      </c>
      <c r="J131" s="7"/>
      <c r="K131">
        <v>0.43051935331137958</v>
      </c>
      <c r="L131">
        <v>0.55777416297123783</v>
      </c>
      <c r="M131">
        <v>0.44643645228198048</v>
      </c>
      <c r="N131">
        <v>0.72748416088601908</v>
      </c>
      <c r="O131">
        <v>0.4110441079771861</v>
      </c>
      <c r="P131">
        <v>0.58596872968378722</v>
      </c>
      <c r="Q131">
        <v>0.41027393199142265</v>
      </c>
      <c r="R131">
        <v>0.63261933436831042</v>
      </c>
      <c r="S131">
        <v>0.46277992852929062</v>
      </c>
      <c r="T131">
        <v>0.51939190770082466</v>
      </c>
      <c r="U131">
        <v>0.47820488998957239</v>
      </c>
      <c r="V131">
        <v>0.52420561984123759</v>
      </c>
      <c r="W131">
        <v>0.45886257958902493</v>
      </c>
      <c r="X131">
        <v>0.56401418216023902</v>
      </c>
      <c r="Y131">
        <v>0.45043291643914918</v>
      </c>
      <c r="Z131">
        <v>0.52051394660715078</v>
      </c>
      <c r="AA131">
        <v>0.42914147546861414</v>
      </c>
      <c r="AB131">
        <v>0.53166612281304659</v>
      </c>
      <c r="AC131">
        <v>0.48728042323650361</v>
      </c>
      <c r="AD131">
        <v>0.4538425910832814</v>
      </c>
    </row>
    <row r="132" spans="1:30" x14ac:dyDescent="0.2">
      <c r="A132" s="2" t="s">
        <v>88</v>
      </c>
      <c r="B132">
        <v>1</v>
      </c>
      <c r="C132">
        <v>0</v>
      </c>
      <c r="D132">
        <f t="shared" si="8"/>
        <v>4748.1525000000001</v>
      </c>
      <c r="E132" s="8">
        <v>156</v>
      </c>
      <c r="F132" s="7">
        <v>13</v>
      </c>
      <c r="J132" s="7"/>
      <c r="K132">
        <v>0.44249925847933502</v>
      </c>
      <c r="L132">
        <v>0.53091462738134765</v>
      </c>
      <c r="M132">
        <v>0.42517874088491503</v>
      </c>
      <c r="N132">
        <v>0.73075635473672595</v>
      </c>
      <c r="O132">
        <v>0.43075138934665463</v>
      </c>
      <c r="P132">
        <v>0.58581034132208287</v>
      </c>
      <c r="Q132">
        <v>0.39535653321341691</v>
      </c>
      <c r="R132">
        <v>0.60849855443760392</v>
      </c>
      <c r="S132">
        <v>0.43376972642156975</v>
      </c>
      <c r="T132">
        <v>0.56698909173807643</v>
      </c>
      <c r="U132">
        <v>0.4539774036254009</v>
      </c>
      <c r="V132">
        <v>0.51894752462125415</v>
      </c>
      <c r="W132">
        <v>0.43636879499877146</v>
      </c>
      <c r="X132">
        <v>0.57748427828767102</v>
      </c>
      <c r="Y132">
        <v>0.4366011080280397</v>
      </c>
      <c r="Z132">
        <v>0.52721171874437467</v>
      </c>
      <c r="AA132">
        <v>0.4253483170898506</v>
      </c>
      <c r="AB132">
        <v>0.53352411253013421</v>
      </c>
      <c r="AC132">
        <v>0.47625482452058054</v>
      </c>
      <c r="AD132">
        <v>0.45870318470487542</v>
      </c>
    </row>
    <row r="133" spans="1:30" x14ac:dyDescent="0.2">
      <c r="A133" t="s">
        <v>129</v>
      </c>
      <c r="B133">
        <v>1</v>
      </c>
      <c r="C133">
        <v>0</v>
      </c>
      <c r="D133">
        <f t="shared" si="8"/>
        <v>2404.513124999999</v>
      </c>
      <c r="E133" s="7">
        <f>F133*12</f>
        <v>78.999999999999972</v>
      </c>
      <c r="F133" s="7">
        <v>6.5833333333333304</v>
      </c>
      <c r="J133" s="7"/>
      <c r="K133">
        <v>0.47093306428170162</v>
      </c>
      <c r="L133">
        <v>0.51634978491811456</v>
      </c>
      <c r="M133">
        <v>0.43588157107035858</v>
      </c>
      <c r="N133">
        <v>0.72696166677056717</v>
      </c>
      <c r="O133">
        <v>0.44724841263405801</v>
      </c>
      <c r="P133">
        <v>0.58187031333947736</v>
      </c>
      <c r="Q133">
        <v>0.42344694918619064</v>
      </c>
      <c r="R133">
        <v>0.58901987674088629</v>
      </c>
      <c r="S133">
        <v>0.46937862453459783</v>
      </c>
      <c r="T133">
        <v>0.56971103176823867</v>
      </c>
      <c r="U133">
        <v>0.48505942222903792</v>
      </c>
      <c r="V133">
        <v>0.50891093342775173</v>
      </c>
      <c r="W133">
        <v>0.45905853660790019</v>
      </c>
      <c r="X133">
        <v>0.59487955241112389</v>
      </c>
      <c r="Y133">
        <v>0.45303772975564732</v>
      </c>
      <c r="Z133">
        <v>0.52767777340286059</v>
      </c>
      <c r="AA133">
        <v>0.44737991030372015</v>
      </c>
      <c r="AB133">
        <v>0.50885164308632969</v>
      </c>
      <c r="AC133">
        <v>0.50808611974899986</v>
      </c>
      <c r="AD133">
        <v>0.47790614068572557</v>
      </c>
    </row>
    <row r="134" spans="1:30" x14ac:dyDescent="0.2">
      <c r="A134" s="2" t="s">
        <v>89</v>
      </c>
      <c r="B134">
        <v>1</v>
      </c>
      <c r="C134">
        <v>0</v>
      </c>
      <c r="D134">
        <f t="shared" si="8"/>
        <v>4748.1525000000001</v>
      </c>
      <c r="E134" s="8">
        <v>156</v>
      </c>
      <c r="F134" s="7">
        <v>13</v>
      </c>
      <c r="J134" s="7"/>
      <c r="K134">
        <v>0.45250520494721008</v>
      </c>
      <c r="L134">
        <v>0.55452644969204523</v>
      </c>
      <c r="M134">
        <v>0.41672246517509964</v>
      </c>
      <c r="N134">
        <v>0.74671670440601434</v>
      </c>
      <c r="O134">
        <v>0.43318752024072066</v>
      </c>
      <c r="P134">
        <v>0.5978509344251508</v>
      </c>
      <c r="Q134">
        <v>0.3974575440832176</v>
      </c>
      <c r="R134">
        <v>0.61552112519356916</v>
      </c>
      <c r="S134">
        <v>0.45190000524565033</v>
      </c>
      <c r="T134">
        <v>0.55789109575761775</v>
      </c>
      <c r="U134">
        <v>0.45747772839624989</v>
      </c>
      <c r="V134">
        <v>0.53620676298202108</v>
      </c>
      <c r="W134">
        <v>0.4365147286373352</v>
      </c>
      <c r="X134">
        <v>0.61647558212804976</v>
      </c>
      <c r="Y134">
        <v>0.45135787865980426</v>
      </c>
      <c r="Z134">
        <v>0.5680112357410928</v>
      </c>
      <c r="AA134">
        <v>0.42006770142566019</v>
      </c>
      <c r="AB134">
        <v>0.56927573894333927</v>
      </c>
      <c r="AC134">
        <v>0.48265766407565963</v>
      </c>
      <c r="AD134">
        <v>0.47624696341453709</v>
      </c>
    </row>
    <row r="135" spans="1:30" x14ac:dyDescent="0.2">
      <c r="A135" s="2" t="s">
        <v>90</v>
      </c>
      <c r="B135">
        <v>1</v>
      </c>
      <c r="C135">
        <v>0</v>
      </c>
      <c r="D135">
        <f t="shared" si="8"/>
        <v>3652.4250000000002</v>
      </c>
      <c r="E135" s="8">
        <v>120</v>
      </c>
      <c r="F135" s="7">
        <v>10</v>
      </c>
      <c r="J135" s="7"/>
      <c r="K135">
        <v>0.46491670150749009</v>
      </c>
      <c r="L135">
        <v>0.50559829577178617</v>
      </c>
      <c r="M135">
        <v>0.45011864413975228</v>
      </c>
      <c r="N135">
        <v>0.62845958948316261</v>
      </c>
      <c r="O135">
        <v>0.44126746906457182</v>
      </c>
      <c r="P135">
        <v>0.59423008517279663</v>
      </c>
      <c r="Q135">
        <v>0.41496722056249535</v>
      </c>
      <c r="R135">
        <v>0.5916895568707019</v>
      </c>
      <c r="S135">
        <v>0.47234714608842082</v>
      </c>
      <c r="T135">
        <v>0.5290573824845477</v>
      </c>
      <c r="U135">
        <v>0.47426543363809781</v>
      </c>
      <c r="V135">
        <v>0.50049249480415803</v>
      </c>
      <c r="W135">
        <v>0.47001041041223129</v>
      </c>
      <c r="X135">
        <v>0.55239654300897667</v>
      </c>
      <c r="Y135">
        <v>0.47659255924403165</v>
      </c>
      <c r="Z135">
        <v>0.54167018834819891</v>
      </c>
      <c r="AA135">
        <v>0.45259917225948232</v>
      </c>
      <c r="AB135">
        <v>0.47419745400975905</v>
      </c>
      <c r="AC135">
        <v>0.48799793576966782</v>
      </c>
      <c r="AD135">
        <v>0.45249923265289277</v>
      </c>
    </row>
    <row r="136" spans="1:30" x14ac:dyDescent="0.2">
      <c r="A136" t="s">
        <v>130</v>
      </c>
      <c r="B136">
        <v>1</v>
      </c>
      <c r="C136">
        <v>0</v>
      </c>
      <c r="D136">
        <f t="shared" si="8"/>
        <v>7030.9181250000001</v>
      </c>
      <c r="E136" s="7">
        <f>F136*12</f>
        <v>231</v>
      </c>
      <c r="F136" s="7">
        <v>19.25</v>
      </c>
      <c r="J136" s="7"/>
      <c r="K136">
        <v>0.3990390381010519</v>
      </c>
      <c r="L136">
        <v>0.64089621842591615</v>
      </c>
      <c r="M136">
        <v>0.43918357585608214</v>
      </c>
      <c r="N136">
        <v>0.75963327525533275</v>
      </c>
      <c r="O136">
        <v>0.39430497080996413</v>
      </c>
      <c r="P136">
        <v>0.6305488268487649</v>
      </c>
      <c r="Q136">
        <v>0.3781701695289425</v>
      </c>
      <c r="R136">
        <v>0.68346550277811613</v>
      </c>
      <c r="S136">
        <v>0.43243688926912593</v>
      </c>
      <c r="T136">
        <v>0.60414365386128921</v>
      </c>
      <c r="U136">
        <v>0.42024454314489068</v>
      </c>
      <c r="V136">
        <v>0.58227110508879354</v>
      </c>
      <c r="W136">
        <v>0.43572180242658876</v>
      </c>
      <c r="X136">
        <v>0.6245627447251012</v>
      </c>
      <c r="Y136">
        <v>0.43482287744673631</v>
      </c>
      <c r="Z136">
        <v>0.58776794388588549</v>
      </c>
      <c r="AA136">
        <v>0.39405738274457836</v>
      </c>
      <c r="AB136">
        <v>0.59862277484490634</v>
      </c>
      <c r="AC136">
        <v>0.45209285082301875</v>
      </c>
      <c r="AD136">
        <v>0.51120504389757848</v>
      </c>
    </row>
    <row r="137" spans="1:30" x14ac:dyDescent="0.2">
      <c r="A137" s="2" t="s">
        <v>91</v>
      </c>
      <c r="B137">
        <v>1</v>
      </c>
      <c r="C137">
        <v>0</v>
      </c>
      <c r="D137">
        <f t="shared" si="8"/>
        <v>4017.6675</v>
      </c>
      <c r="E137" s="8">
        <v>132</v>
      </c>
      <c r="F137" s="7">
        <v>11</v>
      </c>
      <c r="J137" s="7"/>
      <c r="K137">
        <v>0.44845941655265503</v>
      </c>
      <c r="L137">
        <v>0.51647021277871519</v>
      </c>
      <c r="M137">
        <v>0.44895822914205025</v>
      </c>
      <c r="N137">
        <v>0.7351999148368179</v>
      </c>
      <c r="O137">
        <v>0.44598713046837879</v>
      </c>
      <c r="P137">
        <v>0.59995235241381395</v>
      </c>
      <c r="Q137">
        <v>0.40917665043318702</v>
      </c>
      <c r="R137">
        <v>0.60968822079700613</v>
      </c>
      <c r="S137">
        <v>0.45961212905414162</v>
      </c>
      <c r="T137">
        <v>0.55877339464219533</v>
      </c>
      <c r="U137">
        <v>0.46709171693041379</v>
      </c>
      <c r="V137">
        <v>0.53521054492358355</v>
      </c>
      <c r="W137">
        <v>0.45897160996034597</v>
      </c>
      <c r="X137">
        <v>0.58270098342475685</v>
      </c>
      <c r="Y137">
        <v>0.47849871123345622</v>
      </c>
      <c r="Z137">
        <v>0.51169925858036858</v>
      </c>
      <c r="AA137">
        <v>0.43103430556079469</v>
      </c>
      <c r="AB137">
        <v>0.54312619224582126</v>
      </c>
      <c r="AC137">
        <v>0.48418953532281783</v>
      </c>
      <c r="AD137">
        <v>0.47587869474567446</v>
      </c>
    </row>
    <row r="138" spans="1:30" x14ac:dyDescent="0.2">
      <c r="A138" s="2" t="s">
        <v>92</v>
      </c>
      <c r="B138">
        <v>1</v>
      </c>
      <c r="C138">
        <v>0</v>
      </c>
      <c r="D138">
        <f t="shared" si="8"/>
        <v>5843.88</v>
      </c>
      <c r="E138" s="8">
        <v>192</v>
      </c>
      <c r="F138" s="7">
        <v>16</v>
      </c>
      <c r="J138" s="7"/>
      <c r="K138">
        <v>0.40886787799496027</v>
      </c>
      <c r="L138">
        <v>0.57946014839509319</v>
      </c>
      <c r="M138">
        <v>0.40336045798104492</v>
      </c>
      <c r="N138">
        <v>0.73338277106154348</v>
      </c>
      <c r="O138">
        <v>0.41099326518382667</v>
      </c>
      <c r="P138">
        <v>0.61788141664006679</v>
      </c>
      <c r="Q138">
        <v>0.37277905228885699</v>
      </c>
      <c r="R138">
        <v>0.61036130881607842</v>
      </c>
      <c r="S138">
        <v>0.43227966012194352</v>
      </c>
      <c r="T138">
        <v>0.54308743070981624</v>
      </c>
      <c r="U138">
        <v>0.43435130804420535</v>
      </c>
      <c r="V138">
        <v>0.50016808808628155</v>
      </c>
      <c r="W138">
        <v>0.41818841081099933</v>
      </c>
      <c r="X138">
        <v>0.57551223682496011</v>
      </c>
      <c r="Y138">
        <v>0.39865279992030767</v>
      </c>
      <c r="Z138">
        <v>0.56795362937715033</v>
      </c>
      <c r="AA138">
        <v>0.40246430422305474</v>
      </c>
      <c r="AB138">
        <v>0.53309324131612512</v>
      </c>
      <c r="AC138">
        <v>0.45770826349436267</v>
      </c>
      <c r="AD138">
        <v>0.47492688419050977</v>
      </c>
    </row>
    <row r="139" spans="1:30" x14ac:dyDescent="0.2">
      <c r="A139" s="2" t="s">
        <v>93</v>
      </c>
      <c r="B139">
        <v>1</v>
      </c>
      <c r="C139">
        <v>0</v>
      </c>
      <c r="D139">
        <f t="shared" si="8"/>
        <v>4748.1525000000001</v>
      </c>
      <c r="E139" s="8">
        <v>156</v>
      </c>
      <c r="F139" s="7">
        <v>13</v>
      </c>
      <c r="J139" s="7"/>
      <c r="K139">
        <v>0.42770370055075729</v>
      </c>
      <c r="L139">
        <v>0.51456590018375081</v>
      </c>
      <c r="M139">
        <v>0.43840587175191092</v>
      </c>
      <c r="N139">
        <v>0.71484456992959422</v>
      </c>
      <c r="O139">
        <v>0.42007320966970801</v>
      </c>
      <c r="P139">
        <v>0.54729615886692629</v>
      </c>
      <c r="Q139">
        <v>0.39504742038361795</v>
      </c>
      <c r="R139">
        <v>0.61727901243995931</v>
      </c>
      <c r="S139">
        <v>0.44471106589553544</v>
      </c>
      <c r="T139">
        <v>0.5511592788633547</v>
      </c>
      <c r="U139">
        <v>0.44815545251660449</v>
      </c>
      <c r="V139">
        <v>0.53085548162933716</v>
      </c>
      <c r="W139">
        <v>0.44165555047178728</v>
      </c>
      <c r="X139">
        <v>0.59719243812559009</v>
      </c>
      <c r="Y139">
        <v>0.42216991973498014</v>
      </c>
      <c r="Z139">
        <v>0.54135467729543518</v>
      </c>
      <c r="AA139">
        <v>0.4219787443471617</v>
      </c>
      <c r="AB139">
        <v>0.50113221292207044</v>
      </c>
      <c r="AC139">
        <v>0.46853187908349581</v>
      </c>
      <c r="AD139">
        <v>0.44430384001934309</v>
      </c>
    </row>
    <row r="140" spans="1:30" x14ac:dyDescent="0.2">
      <c r="A140" s="2" t="s">
        <v>94</v>
      </c>
      <c r="B140">
        <v>1</v>
      </c>
      <c r="C140">
        <v>0</v>
      </c>
      <c r="D140">
        <f t="shared" si="8"/>
        <v>4382.91</v>
      </c>
      <c r="E140" s="8">
        <v>144</v>
      </c>
      <c r="F140" s="7">
        <v>12</v>
      </c>
      <c r="J140" s="7"/>
      <c r="K140">
        <v>0.46275500415046567</v>
      </c>
      <c r="L140">
        <v>0.5123497887402837</v>
      </c>
      <c r="M140">
        <v>0.43932211628191908</v>
      </c>
      <c r="N140">
        <v>0.72092380687110391</v>
      </c>
      <c r="O140">
        <v>0.43264740112076333</v>
      </c>
      <c r="P140">
        <v>0.54853679734918059</v>
      </c>
      <c r="Q140">
        <v>0.41191554880995335</v>
      </c>
      <c r="R140">
        <v>0.58983558373710943</v>
      </c>
      <c r="S140">
        <v>0.47584449022879821</v>
      </c>
      <c r="T140">
        <v>0.52635645050645385</v>
      </c>
      <c r="U140">
        <v>0.47814352123285336</v>
      </c>
      <c r="V140">
        <v>0.49897815657752398</v>
      </c>
      <c r="W140">
        <v>0.47743193619282681</v>
      </c>
      <c r="X140">
        <v>0.54125933377990321</v>
      </c>
      <c r="Y140">
        <v>0.46118785013884728</v>
      </c>
      <c r="Z140">
        <v>0.44174284787641172</v>
      </c>
      <c r="AA140">
        <v>0.44210906931873406</v>
      </c>
      <c r="AB140">
        <v>0.4984143980998943</v>
      </c>
      <c r="AC140">
        <v>0.4841292221684147</v>
      </c>
      <c r="AD140">
        <v>0.44858958388016212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2022-11-04T05:10:42Z</dcterms:created>
  <dcterms:modified xsi:type="dcterms:W3CDTF">2023-02-02T10:21:18Z</dcterms:modified>
</cp:coreProperties>
</file>